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us">목록!$D$3:$D$7</definedName>
    <definedName name="list_priority">목록!$E$3:$E$5</definedName>
    <definedName name="list_frequency">목록!$F$3:$F$6</definedName>
    <definedName name="list_version">목록!$G$3:$G$6</definedName>
    <definedName name="list_resolution">목록!$H$3:$H$10</definedName>
    <definedName name="list_env">목록!$I$3:$I$3</definedName>
    <definedName name="list_label">목록!$J$3:$J$12</definedName>
    <definedName name="list_reporter">목록!$K$3:$K$3</definedName>
    <definedName name="list_assignee">목록!$L$3:$L$3</definedName>
    <definedName name="list_sprint">목록!$M$3:$M$4</definedName>
    <definedName name="_xlnm._FilterDatabase" localSheetId="0" hidden="1">'Test Case'!$B$4:$R$32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23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CD0EC"/>
      </patternFill>
    </fill>
    <fill>
      <patternFill patternType="solid">
        <fgColor rgb="00D0ECEC"/>
      </patternFill>
    </fill>
    <fill>
      <patternFill patternType="solid">
        <fgColor rgb="00ECE1D0"/>
      </patternFill>
    </fill>
    <fill>
      <patternFill patternType="solid">
        <fgColor rgb="00ECD0D5"/>
      </patternFill>
    </fill>
    <fill>
      <patternFill patternType="solid">
        <fgColor rgb="00E0ECD0"/>
      </patternFill>
    </fill>
    <fill>
      <patternFill patternType="solid">
        <fgColor rgb="00ECD0E1"/>
      </patternFill>
    </fill>
    <fill>
      <patternFill patternType="solid">
        <fgColor rgb="00ECD5D0"/>
      </patternFill>
    </fill>
    <fill>
      <patternFill patternType="solid">
        <fgColor rgb="00D0ECE1"/>
      </patternFill>
    </fill>
    <fill>
      <patternFill patternType="solid">
        <fgColor rgb="00D6D0EC"/>
      </patternFill>
    </fill>
    <fill>
      <patternFill patternType="solid">
        <fgColor rgb="00D0ECD6"/>
      </patternFill>
    </fill>
    <fill>
      <patternFill patternType="solid">
        <fgColor rgb="00D0D5EC"/>
      </patternFill>
    </fill>
    <fill>
      <patternFill patternType="solid">
        <fgColor rgb="00D5ECD0"/>
      </patternFill>
    </fill>
    <fill>
      <patternFill patternType="solid">
        <fgColor rgb="00E1D0EC"/>
      </patternFill>
    </fill>
    <fill>
      <patternFill patternType="solid">
        <fgColor rgb="00D0E0EC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3" fillId="21" borderId="1" pivotButton="0" quotePrefix="0" xfId="0"/>
    <xf numFmtId="0" fontId="5" fillId="6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2" fillId="22" borderId="1" pivotButton="0" quotePrefix="0" xfId="0"/>
    <xf numFmtId="0" fontId="2" fillId="22" borderId="1" applyAlignment="1" pivotButton="0" quotePrefix="0" xfId="0">
      <alignment horizontal="center"/>
    </xf>
    <xf numFmtId="164" fontId="2" fillId="2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</cols>
  <sheetData>
    <row r="2" ht="22" customHeight="1">
      <c r="B2" s="1" t="inlineStr">
        <is>
          <t>qa-lab-miyonchat-tree-v1.11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>
        <is>
          <t>미로그인 첫 진입</t>
        </is>
      </c>
      <c r="F10" s="14" t="inlineStr">
        <is>
          <t>미로그인 상태</t>
        </is>
      </c>
      <c r="G10" s="15" t="n">
        <v>1</v>
      </c>
      <c r="H10" s="14" t="inlineStr">
        <is>
          <t>SUT 주소 진입한다</t>
        </is>
      </c>
      <c r="I10" s="14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6">
        <f>IF(COUNTIF(M10:M10,"Fail")&gt;0,"Fail",IF(COUNTIF(M10:M10,"Blocked")&gt;0,"Blocked",IF(COUNTIF(M10:M10,"NI")&gt;0,"NI",IF(COUNTIF(M10:M10,"Pass")&gt;0,"Pass",""))))</f>
        <v/>
      </c>
      <c r="M10" s="17" t="n"/>
      <c r="N10" s="18" t="n"/>
      <c r="O10" s="18" t="n"/>
      <c r="P10" s="14" t="inlineStr">
        <is>
          <t>상태는 디버그 콘솔 상태 스위처 「미로그인」으로 만들고 [저장]합니다. 공개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>
        <is>
          <t>미로그인 첫 진입</t>
        </is>
      </c>
      <c r="F11" s="14" t="inlineStr"/>
      <c r="G11" s="15" t="n">
        <v>2</v>
      </c>
      <c r="H11" s="14" t="inlineStr">
        <is>
          <t>상단 바 확인한다</t>
        </is>
      </c>
      <c r="I11" s="14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6">
        <f>IF(COUNTIF(M11:M11,"Fail")&gt;0,"Fail",IF(COUNTIF(M11:M11,"Blocked")&gt;0,"Blocked",IF(COUNTIF(M11:M11,"NI")&gt;0,"NI",IF(COUNTIF(M11:M11,"Pass")&gt;0,"Pass",""))))</f>
        <v/>
      </c>
      <c r="M11" s="17" t="n"/>
      <c r="N11" s="18" t="n"/>
      <c r="O11" s="18" t="n"/>
      <c r="P11" s="14" t="n"/>
      <c r="Q11" s="10" t="inlineStr">
        <is>
          <t>TC-ENT-001</t>
        </is>
      </c>
      <c r="R11" s="10" t="inlineStr">
        <is>
          <t>결정적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>
        <is>
          <t>미로그인 첫 진입</t>
        </is>
      </c>
      <c r="F12" s="14" t="n"/>
      <c r="G12" s="19" t="n"/>
      <c r="H12" s="19" t="n"/>
      <c r="I12" s="14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6">
        <f>IF(COUNTIF(M12:M12,"Fail")&gt;0,"Fail",IF(COUNTIF(M12:M12,"Blocked")&gt;0,"Blocked",IF(COUNTIF(M12:M12,"NI")&gt;0,"NI",IF(COUNTIF(M12:M12,"Pass")&gt;0,"Pass",""))))</f>
        <v/>
      </c>
      <c r="M12" s="17" t="n"/>
      <c r="N12" s="18" t="n"/>
      <c r="O12" s="18" t="n"/>
      <c r="P12" s="19" t="n"/>
      <c r="Q12" s="10" t="inlineStr">
        <is>
          <t>TC-ENT-001</t>
        </is>
      </c>
      <c r="R12" s="10" t="inlineStr">
        <is>
          <t>결정적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20" t="inlineStr">
        <is>
          <t>세션 유지 재진입</t>
        </is>
      </c>
      <c r="F13" s="14" t="inlineStr">
        <is>
          <t>계정 A(성인 인증)로 로그인한 상태</t>
        </is>
      </c>
      <c r="G13" s="15" t="n">
        <v>1</v>
      </c>
      <c r="H13" s="14" t="inlineStr">
        <is>
          <t>SUT 주소 재진입한다</t>
        </is>
      </c>
      <c r="I13" s="14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6">
        <f>IF(COUNTIF(M13:M13,"Fail")&gt;0,"Fail",IF(COUNTIF(M13:M13,"Blocked")&gt;0,"Blocked",IF(COUNTIF(M13:M13,"NI")&gt;0,"NI",IF(COUNTIF(M13:M13,"Pass")&gt;0,"Pass",""))))</f>
        <v/>
      </c>
      <c r="M13" s="17" t="n"/>
      <c r="N13" s="18" t="n"/>
      <c r="O13" s="18" t="n"/>
      <c r="P13" s="14" t="inlineStr">
        <is>
          <t>상태 스위처 「로그인 (성인 인증)」으로 만듭니다. 명세는 로그인 화면을 한 프레임도 노출하지 않는다고 정합니다 — 사람 수행 시에는 화면 전환의 깜빡임만 확인합니다</t>
        </is>
      </c>
      <c r="Q13" s="10" t="inlineStr">
        <is>
          <t>TC-ENT-002</t>
        </is>
      </c>
      <c r="R13" s="10" t="inlineStr">
        <is>
          <t>결정적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20" t="inlineStr">
        <is>
          <t>세션 유지 재진입</t>
        </is>
      </c>
      <c r="F14" s="14" t="inlineStr"/>
      <c r="G14" s="15" t="n">
        <v>2</v>
      </c>
      <c r="H14" s="14" t="inlineStr">
        <is>
          <t>상단 바 확인한다</t>
        </is>
      </c>
      <c r="I14" s="14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6">
        <f>IF(COUNTIF(M14:M14,"Fail")&gt;0,"Fail",IF(COUNTIF(M14:M14,"Blocked")&gt;0,"Blocked",IF(COUNTIF(M14:M14,"NI")&gt;0,"NI",IF(COUNTIF(M14:M14,"Pass")&gt;0,"Pass",""))))</f>
        <v/>
      </c>
      <c r="M14" s="17" t="n"/>
      <c r="N14" s="18" t="n"/>
      <c r="O14" s="18" t="n"/>
      <c r="P14" s="14" t="n"/>
      <c r="Q14" s="10" t="inlineStr">
        <is>
          <t>TC-ENT-002</t>
        </is>
      </c>
      <c r="R14" s="10" t="inlineStr">
        <is>
          <t>결정적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20" t="inlineStr">
        <is>
          <t>세션 유지 재진입</t>
        </is>
      </c>
      <c r="F15" s="14" t="n"/>
      <c r="G15" s="19" t="n"/>
      <c r="H15" s="19" t="n"/>
      <c r="I15" s="14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6">
        <f>IF(COUNTIF(M15:M15,"Fail")&gt;0,"Fail",IF(COUNTIF(M15:M15,"Blocked")&gt;0,"Blocked",IF(COUNTIF(M15:M15,"NI")&gt;0,"NI",IF(COUNTIF(M15:M15,"Pass")&gt;0,"Pass",""))))</f>
        <v/>
      </c>
      <c r="M15" s="17" t="n"/>
      <c r="N15" s="18" t="n"/>
      <c r="O15" s="18" t="n"/>
      <c r="P15" s="19" t="n"/>
      <c r="Q15" s="10" t="inlineStr">
        <is>
          <t>TC-ENT-002</t>
        </is>
      </c>
      <c r="R15" s="10" t="inlineStr">
        <is>
          <t>결정적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21" t="inlineStr">
        <is>
          <t>세션 만료 후 재진입</t>
        </is>
      </c>
      <c r="F16" s="14" t="inlineStr">
        <is>
          <t>계정 A로 로그인한 뒤 세션이 만료된 상태</t>
        </is>
      </c>
      <c r="G16" s="15" t="n">
        <v>1</v>
      </c>
      <c r="H16" s="14" t="inlineStr">
        <is>
          <t>SUT 주소 재진입한다</t>
        </is>
      </c>
      <c r="I16" s="14" t="inlineStr">
        <is>
          <t>홈 화면 노출된다</t>
        </is>
      </c>
      <c r="J16" s="10" t="inlineStr">
        <is>
          <t>공통</t>
        </is>
      </c>
      <c r="K16" s="10" t="inlineStr">
        <is>
          <t>High</t>
        </is>
      </c>
      <c r="L16" s="16">
        <f>IF(COUNTIF(M16:M16,"Fail")&gt;0,"Fail",IF(COUNTIF(M16:M16,"Blocked")&gt;0,"Blocked",IF(COUNTIF(M16:M16,"NI")&gt;0,"NI",IF(COUNTIF(M16:M16,"Pass")&gt;0,"Pass",""))))</f>
        <v/>
      </c>
      <c r="M16" s="17" t="n"/>
      <c r="N16" s="18" t="n"/>
      <c r="O16" s="18" t="n"/>
      <c r="P16" s="14" t="inlineStr">
        <is>
          <t>만료는 상태 스위처 「세션 만료」로 만듭니다. 만료 뒤 보호 동작이 막히는지는 TC-ENT-004가 잇습니다</t>
        </is>
      </c>
      <c r="Q16" s="10" t="inlineStr">
        <is>
          <t>TC-ENT-003</t>
        </is>
      </c>
      <c r="R16" s="10" t="inlineStr">
        <is>
          <t>결정적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21" t="inlineStr">
        <is>
          <t>세션 만료 후 재진입</t>
        </is>
      </c>
      <c r="F17" s="14" t="inlineStr"/>
      <c r="G17" s="15" t="n">
        <v>2</v>
      </c>
      <c r="H17" s="14" t="inlineStr">
        <is>
          <t>상단 바 확인한다</t>
        </is>
      </c>
      <c r="I17" s="14" t="inlineStr">
        <is>
          <t>재화 잔액 노출되지 않는다</t>
        </is>
      </c>
      <c r="J17" s="10" t="inlineStr">
        <is>
          <t>공통</t>
        </is>
      </c>
      <c r="K17" s="10" t="inlineStr">
        <is>
          <t>High</t>
        </is>
      </c>
      <c r="L17" s="16">
        <f>IF(COUNTIF(M17:M17,"Fail")&gt;0,"Fail",IF(COUNTIF(M17:M17,"Blocked")&gt;0,"Blocked",IF(COUNTIF(M17:M17,"NI")&gt;0,"NI",IF(COUNTIF(M17:M17,"Pass")&gt;0,"Pass",""))))</f>
        <v/>
      </c>
      <c r="M17" s="17" t="n"/>
      <c r="N17" s="18" t="n"/>
      <c r="O17" s="18" t="n"/>
      <c r="P17" s="14" t="n"/>
      <c r="Q17" s="10" t="inlineStr">
        <is>
          <t>TC-ENT-003</t>
        </is>
      </c>
      <c r="R17" s="10" t="inlineStr">
        <is>
          <t>결정적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21" t="inlineStr">
        <is>
          <t>세션 만료 후 재진입</t>
        </is>
      </c>
      <c r="F18" s="14" t="n"/>
      <c r="G18" s="19" t="n"/>
      <c r="H18" s="19" t="n"/>
      <c r="I18" s="14" t="inlineStr">
        <is>
          <t>간편 프로필 자리에 로그인 버튼 노출된다</t>
        </is>
      </c>
      <c r="J18" s="10" t="inlineStr">
        <is>
          <t>공통</t>
        </is>
      </c>
      <c r="K18" s="10" t="inlineStr">
        <is>
          <t>High</t>
        </is>
      </c>
      <c r="L18" s="16">
        <f>IF(COUNTIF(M18:M18,"Fail")&gt;0,"Fail",IF(COUNTIF(M18:M18,"Blocked")&gt;0,"Blocked",IF(COUNTIF(M18:M18,"NI")&gt;0,"NI",IF(COUNTIF(M18:M18,"Pass")&gt;0,"Pass",""))))</f>
        <v/>
      </c>
      <c r="M18" s="17" t="n"/>
      <c r="N18" s="18" t="n"/>
      <c r="O18" s="18" t="n"/>
      <c r="P18" s="19" t="n"/>
      <c r="Q18" s="10" t="inlineStr">
        <is>
          <t>TC-ENT-003</t>
        </is>
      </c>
      <c r="R18" s="10" t="inlineStr">
        <is>
          <t>결정적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22" t="inlineStr">
        <is>
          <t>세션 만료 상태 보호 동작 차단</t>
        </is>
      </c>
      <c r="F19" s="14" t="inlineStr">
        <is>
          <t>계정 A로 로그인한 뒤 세션이 만료된 상태로 홈 화면에 재진입한 상태</t>
        </is>
      </c>
      <c r="G19" s="15" t="n">
        <v>1</v>
      </c>
      <c r="H19" s="14" t="inlineStr">
        <is>
          <t>채팅 탭 선택한다</t>
        </is>
      </c>
      <c r="I19" s="14" t="inlineStr">
        <is>
          <t>채팅 탭 열리지 않는다</t>
        </is>
      </c>
      <c r="J19" s="10" t="inlineStr">
        <is>
          <t>공통</t>
        </is>
      </c>
      <c r="K19" s="10" t="inlineStr">
        <is>
          <t>High</t>
        </is>
      </c>
      <c r="L19" s="16">
        <f>IF(COUNTIF(M19:M19,"Fail")&gt;0,"Fail",IF(COUNTIF(M19:M19,"Blocked")&gt;0,"Blocked",IF(COUNTIF(M19:M19,"NI")&gt;0,"NI",IF(COUNTIF(M19:M19,"Pass")&gt;0,"Pass",""))))</f>
        <v/>
      </c>
      <c r="M19" s="17" t="n"/>
      <c r="N19" s="18" t="n"/>
      <c r="O19" s="18" t="n"/>
      <c r="P19" s="14" t="inlineStr">
        <is>
          <t>TC-ENT-003의 만료 흐름을 이어받는 케이스라 웹 진입에 두었습니다. 만료 상태에서 막히는 보호 동작의 목록은 system-spec §1-1 세션 만료 행입니다</t>
        </is>
      </c>
      <c r="Q19" s="10" t="inlineStr">
        <is>
          <t>TC-ENT-004</t>
        </is>
      </c>
      <c r="R19" s="10" t="inlineStr">
        <is>
          <t>금칙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2" t="inlineStr">
        <is>
          <t>진입 분기</t>
        </is>
      </c>
      <c r="E20" s="22" t="inlineStr">
        <is>
          <t>세션 만료 상태 보호 동작 차단</t>
        </is>
      </c>
      <c r="F20" s="19" t="n"/>
      <c r="G20" s="19" t="n"/>
      <c r="H20" s="19" t="n"/>
      <c r="I20" s="14" t="inlineStr">
        <is>
          <t>로그인 모달 노출된다</t>
        </is>
      </c>
      <c r="J20" s="10" t="inlineStr">
        <is>
          <t>공통</t>
        </is>
      </c>
      <c r="K20" s="10" t="inlineStr">
        <is>
          <t>High</t>
        </is>
      </c>
      <c r="L20" s="16">
        <f>IF(COUNTIF(M20:M20,"Fail")&gt;0,"Fail",IF(COUNTIF(M20:M20,"Blocked")&gt;0,"Blocked",IF(COUNTIF(M20:M20,"NI")&gt;0,"NI",IF(COUNTIF(M20:M20,"Pass")&gt;0,"Pass",""))))</f>
        <v/>
      </c>
      <c r="M20" s="17" t="n"/>
      <c r="N20" s="18" t="n"/>
      <c r="O20" s="18" t="n"/>
      <c r="P20" s="19" t="n"/>
      <c r="Q20" s="10" t="inlineStr">
        <is>
          <t>TC-ENT-004</t>
        </is>
      </c>
      <c r="R20" s="10" t="inlineStr">
        <is>
          <t>금칙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23" t="inlineStr">
        <is>
          <t>주소 직접 진입</t>
        </is>
      </c>
      <c r="E21" s="24" t="inlineStr">
        <is>
          <t>로그인 상태 보호 화면 직접 진입</t>
        </is>
      </c>
      <c r="F21" s="14" t="inlineStr">
        <is>
          <t>계정 A로 로그인한 상태</t>
        </is>
      </c>
      <c r="G21" s="15" t="n">
        <v>1</v>
      </c>
      <c r="H21" s="14" t="inlineStr">
        <is>
          <t>MY 탭 주소로 직접 진입한다</t>
        </is>
      </c>
      <c r="I21" s="14" t="inlineStr">
        <is>
          <t>로그인 화면 없이 MY 탭 노출된다</t>
        </is>
      </c>
      <c r="J21" s="10" t="inlineStr">
        <is>
          <t>공통</t>
        </is>
      </c>
      <c r="K21" s="10" t="inlineStr">
        <is>
          <t>Medium</t>
        </is>
      </c>
      <c r="L21" s="16">
        <f>IF(COUNTIF(M21:M21,"Fail")&gt;0,"Fail",IF(COUNTIF(M21:M21,"Blocked")&gt;0,"Blocked",IF(COUNTIF(M21:M21,"NI")&gt;0,"NI",IF(COUNTIF(M21:M21,"Pass")&gt;0,"Pass",""))))</f>
        <v/>
      </c>
      <c r="M21" s="17" t="n"/>
      <c r="N21" s="18" t="n"/>
      <c r="O21" s="18" t="n"/>
      <c r="P21" s="14" t="inlineStr">
        <is>
          <t>주소 끝에 `?screen=s6`을 붙여 엽니다. 아래 차단 케이스들과 짝이며, 막히는 것이 로그인 여부 때문임을 이 케이스가 보입니다</t>
        </is>
      </c>
      <c r="Q21" s="10" t="inlineStr">
        <is>
          <t>TC-ENT-005</t>
        </is>
      </c>
      <c r="R21" s="10" t="inlineStr">
        <is>
          <t>결정적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23" t="inlineStr">
        <is>
          <t>주소 직접 진입</t>
        </is>
      </c>
      <c r="E22" s="25" t="inlineStr">
        <is>
          <t>보호 화면 차단과 로그인 후 복귀</t>
        </is>
      </c>
      <c r="F22" s="14" t="inlineStr">
        <is>
          <t>미로그인 상태</t>
        </is>
      </c>
      <c r="G22" s="15" t="n">
        <v>1</v>
      </c>
      <c r="H22" s="14" t="inlineStr">
        <is>
          <t>대화방 주소로 직접 진입한다</t>
        </is>
      </c>
      <c r="I22" s="14" t="inlineStr">
        <is>
          <t>대화방 노출되지 않는다</t>
        </is>
      </c>
      <c r="J22" s="10" t="inlineStr">
        <is>
          <t>공통</t>
        </is>
      </c>
      <c r="K22" s="10" t="inlineStr">
        <is>
          <t>High</t>
        </is>
      </c>
      <c r="L22" s="16">
        <f>IF(COUNTIF(M22:M22,"Fail")&gt;0,"Fail",IF(COUNTIF(M22:M22,"Blocked")&gt;0,"Blocked",IF(COUNTIF(M22:M22,"NI")&gt;0,"NI",IF(COUNTIF(M22:M22,"Pass")&gt;0,"Pass",""))))</f>
        <v/>
      </c>
      <c r="M22" s="17" t="n"/>
      <c r="N22" s="18" t="n"/>
      <c r="O22" s="18" t="n"/>
      <c r="P22" s="14" t="inlineStr">
        <is>
          <t>주소 끝에 `?screen=s4`를 붙입니다. 뒤에 깔 화면이 없는 경우라 모달이 아니라 로그인 화면이 뜨는 자리입니다(system-spec §1-1)</t>
        </is>
      </c>
      <c r="Q22" s="10" t="inlineStr">
        <is>
          <t>TC-GAT-001</t>
        </is>
      </c>
      <c r="R22" s="10" t="inlineStr">
        <is>
          <t>금칙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23" t="inlineStr">
        <is>
          <t>주소 직접 진입</t>
        </is>
      </c>
      <c r="E23" s="25" t="inlineStr">
        <is>
          <t>보호 화면 차단과 로그인 후 복귀</t>
        </is>
      </c>
      <c r="F23" s="19" t="n"/>
      <c r="G23" s="19" t="n"/>
      <c r="H23" s="19" t="n"/>
      <c r="I23" s="14" t="inlineStr">
        <is>
          <t>로그인 모달이 아니라 로그인 화면 노출된다</t>
        </is>
      </c>
      <c r="J23" s="10" t="inlineStr">
        <is>
          <t>공통</t>
        </is>
      </c>
      <c r="K23" s="10" t="inlineStr">
        <is>
          <t>High</t>
        </is>
      </c>
      <c r="L23" s="16">
        <f>IF(COUNTIF(M23:M23,"Fail")&gt;0,"Fail",IF(COUNTIF(M23:M23,"Blocked")&gt;0,"Blocked",IF(COUNTIF(M23:M23,"NI")&gt;0,"NI",IF(COUNTIF(M23:M23,"Pass")&gt;0,"Pass",""))))</f>
        <v/>
      </c>
      <c r="M23" s="17" t="n"/>
      <c r="N23" s="18" t="n"/>
      <c r="O23" s="18" t="n"/>
      <c r="P23" s="19" t="n"/>
      <c r="Q23" s="10" t="inlineStr">
        <is>
          <t>TC-GAT-001</t>
        </is>
      </c>
      <c r="R23" s="10" t="inlineStr">
        <is>
          <t>금칙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23" t="inlineStr">
        <is>
          <t>주소 직접 진입</t>
        </is>
      </c>
      <c r="E24" s="25" t="inlineStr">
        <is>
          <t>보호 화면 차단과 로그인 후 복귀</t>
        </is>
      </c>
      <c r="F24" s="14" t="inlineStr"/>
      <c r="G24" s="15" t="n">
        <v>2</v>
      </c>
      <c r="H24" s="14" t="inlineStr">
        <is>
          <t>로그인 화면에서 계정 A 선택한다</t>
        </is>
      </c>
      <c r="I24" s="14" t="inlineStr">
        <is>
          <t>원래 열려던 대화방으로 복귀된다</t>
        </is>
      </c>
      <c r="J24" s="10" t="inlineStr">
        <is>
          <t>공통</t>
        </is>
      </c>
      <c r="K24" s="10" t="inlineStr">
        <is>
          <t>High</t>
        </is>
      </c>
      <c r="L24" s="16">
        <f>IF(COUNTIF(M24:M24,"Fail")&gt;0,"Fail",IF(COUNTIF(M24:M24,"Blocked")&gt;0,"Blocked",IF(COUNTIF(M24:M24,"NI")&gt;0,"NI",IF(COUNTIF(M24:M24,"Pass")&gt;0,"Pass",""))))</f>
        <v/>
      </c>
      <c r="M24" s="17" t="n"/>
      <c r="N24" s="18" t="n"/>
      <c r="O24" s="18" t="n"/>
      <c r="P24" s="14" t="n"/>
      <c r="Q24" s="10" t="inlineStr">
        <is>
          <t>TC-GAT-001</t>
        </is>
      </c>
      <c r="R24" s="10" t="inlineStr">
        <is>
          <t>금칙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23" t="inlineStr">
        <is>
          <t>주소 직접 진입</t>
        </is>
      </c>
      <c r="E25" s="26" t="inlineStr">
        <is>
          <t>채팅 탭 차단</t>
        </is>
      </c>
      <c r="F25" s="14" t="inlineStr">
        <is>
          <t>미로그인 상태</t>
        </is>
      </c>
      <c r="G25" s="15" t="n">
        <v>1</v>
      </c>
      <c r="H25" s="14" t="inlineStr">
        <is>
          <t>채팅 탭 주소로 직접 진입한다</t>
        </is>
      </c>
      <c r="I25" s="14" t="inlineStr">
        <is>
          <t>채팅 탭 노출되지 않는다</t>
        </is>
      </c>
      <c r="J25" s="10" t="inlineStr">
        <is>
          <t>공통</t>
        </is>
      </c>
      <c r="K25" s="10" t="inlineStr">
        <is>
          <t>High</t>
        </is>
      </c>
      <c r="L25" s="16">
        <f>IF(COUNTIF(M25:M25,"Fail")&gt;0,"Fail",IF(COUNTIF(M25:M25,"Blocked")&gt;0,"Blocked",IF(COUNTIF(M25:M25,"NI")&gt;0,"NI",IF(COUNTIF(M25:M25,"Pass")&gt;0,"Pass",""))))</f>
        <v/>
      </c>
      <c r="M25" s="17" t="n"/>
      <c r="N25" s="18" t="n"/>
      <c r="O25" s="18" t="n"/>
      <c r="P25" s="14" t="inlineStr">
        <is>
          <t>주소 끝에 `?screen=s5`를 붙입니다. 보호 화면마다 케이스를 나눈 것은 하나만 뚫렸을 때 어느 화면인지 TC ID로 읽히게 하기 위해서입니다</t>
        </is>
      </c>
      <c r="Q25" s="10" t="inlineStr">
        <is>
          <t>TC-GAT-002</t>
        </is>
      </c>
      <c r="R25" s="10" t="inlineStr">
        <is>
          <t>금칙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23" t="inlineStr">
        <is>
          <t>주소 직접 진입</t>
        </is>
      </c>
      <c r="E26" s="26" t="inlineStr">
        <is>
          <t>채팅 탭 차단</t>
        </is>
      </c>
      <c r="F26" s="19" t="n"/>
      <c r="G26" s="19" t="n"/>
      <c r="H26" s="19" t="n"/>
      <c r="I26" s="14" t="inlineStr">
        <is>
          <t>로그인 화면 노출된다</t>
        </is>
      </c>
      <c r="J26" s="10" t="inlineStr">
        <is>
          <t>공통</t>
        </is>
      </c>
      <c r="K26" s="10" t="inlineStr">
        <is>
          <t>High</t>
        </is>
      </c>
      <c r="L26" s="16">
        <f>IF(COUNTIF(M26:M26,"Fail")&gt;0,"Fail",IF(COUNTIF(M26:M26,"Blocked")&gt;0,"Blocked",IF(COUNTIF(M26:M26,"NI")&gt;0,"NI",IF(COUNTIF(M26:M26,"Pass")&gt;0,"Pass",""))))</f>
        <v/>
      </c>
      <c r="M26" s="17" t="n"/>
      <c r="N26" s="18" t="n"/>
      <c r="O26" s="18" t="n"/>
      <c r="P26" s="19" t="n"/>
      <c r="Q26" s="10" t="inlineStr">
        <is>
          <t>TC-GAT-002</t>
        </is>
      </c>
      <c r="R26" s="10" t="inlineStr">
        <is>
          <t>금칙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23" t="inlineStr">
        <is>
          <t>주소 직접 진입</t>
        </is>
      </c>
      <c r="E27" s="27" t="inlineStr">
        <is>
          <t>MY 탭 차단</t>
        </is>
      </c>
      <c r="F27" s="14" t="inlineStr">
        <is>
          <t>미로그인 상태</t>
        </is>
      </c>
      <c r="G27" s="15" t="n">
        <v>1</v>
      </c>
      <c r="H27" s="14" t="inlineStr">
        <is>
          <t>MY 탭 주소로 직접 진입한다</t>
        </is>
      </c>
      <c r="I27" s="14" t="inlineStr">
        <is>
          <t>MY 탭 노출되지 않는다</t>
        </is>
      </c>
      <c r="J27" s="10" t="inlineStr">
        <is>
          <t>공통</t>
        </is>
      </c>
      <c r="K27" s="10" t="inlineStr">
        <is>
          <t>High</t>
        </is>
      </c>
      <c r="L27" s="16">
        <f>IF(COUNTIF(M27:M27,"Fail")&gt;0,"Fail",IF(COUNTIF(M27:M27,"Blocked")&gt;0,"Blocked",IF(COUNTIF(M27:M27,"NI")&gt;0,"NI",IF(COUNTIF(M27:M27,"Pass")&gt;0,"Pass",""))))</f>
        <v/>
      </c>
      <c r="M27" s="17" t="n"/>
      <c r="N27" s="18" t="n"/>
      <c r="O27" s="18" t="n"/>
      <c r="P27" s="14" t="inlineStr">
        <is>
          <t>주소 끝에 `?screen=s6`을 붙입니다. 로그인 상태에서 같은 주소가 열리는 것은 TC-ENT-005가 봅니다</t>
        </is>
      </c>
      <c r="Q27" s="10" t="inlineStr">
        <is>
          <t>TC-GAT-003</t>
        </is>
      </c>
      <c r="R27" s="10" t="inlineStr">
        <is>
          <t>금칙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23" t="inlineStr">
        <is>
          <t>주소 직접 진입</t>
        </is>
      </c>
      <c r="E28" s="27" t="inlineStr">
        <is>
          <t>MY 탭 차단</t>
        </is>
      </c>
      <c r="F28" s="19" t="n"/>
      <c r="G28" s="19" t="n"/>
      <c r="H28" s="19" t="n"/>
      <c r="I28" s="14" t="inlineStr">
        <is>
          <t>로그인 화면 노출된다</t>
        </is>
      </c>
      <c r="J28" s="10" t="inlineStr">
        <is>
          <t>공통</t>
        </is>
      </c>
      <c r="K28" s="10" t="inlineStr">
        <is>
          <t>High</t>
        </is>
      </c>
      <c r="L28" s="16">
        <f>IF(COUNTIF(M28:M28,"Fail")&gt;0,"Fail",IF(COUNTIF(M28:M28,"Blocked")&gt;0,"Blocked",IF(COUNTIF(M28:M28,"NI")&gt;0,"NI",IF(COUNTIF(M28:M28,"Pass")&gt;0,"Pass",""))))</f>
        <v/>
      </c>
      <c r="M28" s="17" t="n"/>
      <c r="N28" s="18" t="n"/>
      <c r="O28" s="18" t="n"/>
      <c r="P28" s="19" t="n"/>
      <c r="Q28" s="10" t="inlineStr">
        <is>
          <t>TC-GAT-003</t>
        </is>
      </c>
      <c r="R28" s="10" t="inlineStr">
        <is>
          <t>금칙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23" t="inlineStr">
        <is>
          <t>주소 직접 진입</t>
        </is>
      </c>
      <c r="E29" s="28" t="inlineStr">
        <is>
          <t>내 작품 탭 차단</t>
        </is>
      </c>
      <c r="F29" s="14" t="inlineStr">
        <is>
          <t>미로그인 상태</t>
        </is>
      </c>
      <c r="G29" s="15" t="n">
        <v>1</v>
      </c>
      <c r="H29" s="14" t="inlineStr">
        <is>
          <t>내 작품 탭 주소로 직접 진입한다</t>
        </is>
      </c>
      <c r="I29" s="14" t="inlineStr">
        <is>
          <t>내 작품 탭 노출되지 않는다</t>
        </is>
      </c>
      <c r="J29" s="10" t="inlineStr">
        <is>
          <t>공통</t>
        </is>
      </c>
      <c r="K29" s="10" t="inlineStr">
        <is>
          <t>High</t>
        </is>
      </c>
      <c r="L29" s="16">
        <f>IF(COUNTIF(M29:M29,"Fail")&gt;0,"Fail",IF(COUNTIF(M29:M29,"Blocked")&gt;0,"Blocked",IF(COUNTIF(M29:M29,"NI")&gt;0,"NI",IF(COUNTIF(M29:M29,"Pass")&gt;0,"Pass",""))))</f>
        <v/>
      </c>
      <c r="M29" s="17" t="n"/>
      <c r="N29" s="18" t="n"/>
      <c r="O29" s="18" t="n"/>
      <c r="P29" s="14" t="inlineStr">
        <is>
          <t>주소 끝에 `?screen=s8`을 붙입니다. 내 작품 탭은 스텁이지만 보호 화면이라 차단은 걸립니다</t>
        </is>
      </c>
      <c r="Q29" s="10" t="inlineStr">
        <is>
          <t>TC-GAT-004</t>
        </is>
      </c>
      <c r="R29" s="10" t="inlineStr">
        <is>
          <t>금칙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23" t="inlineStr">
        <is>
          <t>주소 직접 진입</t>
        </is>
      </c>
      <c r="E30" s="28" t="inlineStr">
        <is>
          <t>내 작품 탭 차단</t>
        </is>
      </c>
      <c r="F30" s="19" t="n"/>
      <c r="G30" s="19" t="n"/>
      <c r="H30" s="19" t="n"/>
      <c r="I30" s="14" t="inlineStr">
        <is>
          <t>로그인 화면 노출된다</t>
        </is>
      </c>
      <c r="J30" s="10" t="inlineStr">
        <is>
          <t>공통</t>
        </is>
      </c>
      <c r="K30" s="10" t="inlineStr">
        <is>
          <t>High</t>
        </is>
      </c>
      <c r="L30" s="16">
        <f>IF(COUNTIF(M30:M30,"Fail")&gt;0,"Fail",IF(COUNTIF(M30:M30,"Blocked")&gt;0,"Blocked",IF(COUNTIF(M30:M30,"NI")&gt;0,"NI",IF(COUNTIF(M30:M30,"Pass")&gt;0,"Pass",""))))</f>
        <v/>
      </c>
      <c r="M30" s="17" t="n"/>
      <c r="N30" s="18" t="n"/>
      <c r="O30" s="18" t="n"/>
      <c r="P30" s="19" t="n"/>
      <c r="Q30" s="10" t="inlineStr">
        <is>
          <t>TC-GAT-004</t>
        </is>
      </c>
      <c r="R30" s="10" t="inlineStr">
        <is>
          <t>금칙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23" t="inlineStr">
        <is>
          <t>주소 직접 진입</t>
        </is>
      </c>
      <c r="E31" s="29" t="inlineStr">
        <is>
          <t>홈 화면 통과</t>
        </is>
      </c>
      <c r="F31" s="14" t="inlineStr">
        <is>
          <t>미로그인 상태</t>
        </is>
      </c>
      <c r="G31" s="15" t="n">
        <v>1</v>
      </c>
      <c r="H31" s="14" t="inlineStr">
        <is>
          <t>홈 화면 주소로 직접 진입한다</t>
        </is>
      </c>
      <c r="I31" s="14" t="inlineStr">
        <is>
          <t>로그인 화면 없이 홈 화면 노출된다</t>
        </is>
      </c>
      <c r="J31" s="10" t="inlineStr">
        <is>
          <t>공통</t>
        </is>
      </c>
      <c r="K31" s="10" t="inlineStr">
        <is>
          <t>Medium</t>
        </is>
      </c>
      <c r="L31" s="16">
        <f>IF(COUNTIF(M31:M31,"Fail")&gt;0,"Fail",IF(COUNTIF(M31:M31,"Blocked")&gt;0,"Blocked",IF(COUNTIF(M31:M31,"NI")&gt;0,"NI",IF(COUNTIF(M31:M31,"Pass")&gt;0,"Pass",""))))</f>
        <v/>
      </c>
      <c r="M31" s="17" t="n"/>
      <c r="N31" s="18" t="n"/>
      <c r="O31" s="18" t="n"/>
      <c r="P31" s="14" t="inlineStr">
        <is>
          <t>주소 끝에 `?screen=s2`를 붙입니다. 차단이 공개 화면까지 과하게 걸리지 않는지를 보는 자리라 위 차단 케이스들과 함께 읽습니다</t>
        </is>
      </c>
      <c r="Q31" s="10" t="inlineStr">
        <is>
          <t>TC-GAT-005</t>
        </is>
      </c>
      <c r="R31" s="10" t="inlineStr">
        <is>
          <t>결정적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23" t="inlineStr">
        <is>
          <t>주소 직접 진입</t>
        </is>
      </c>
      <c r="E32" s="30" t="inlineStr">
        <is>
          <t>커뮤니티 탭 통과</t>
        </is>
      </c>
      <c r="F32" s="14" t="inlineStr">
        <is>
          <t>미로그인 상태</t>
        </is>
      </c>
      <c r="G32" s="15" t="n">
        <v>1</v>
      </c>
      <c r="H32" s="14" t="inlineStr">
        <is>
          <t>커뮤니티 탭 주소로 직접 진입한다</t>
        </is>
      </c>
      <c r="I32" s="14" t="inlineStr">
        <is>
          <t>로그인 화면 없이 커뮤니티 탭 노출된다</t>
        </is>
      </c>
      <c r="J32" s="10" t="inlineStr">
        <is>
          <t>공통</t>
        </is>
      </c>
      <c r="K32" s="10" t="inlineStr">
        <is>
          <t>Medium</t>
        </is>
      </c>
      <c r="L32" s="16">
        <f>IF(COUNTIF(M32:M32,"Fail")&gt;0,"Fail",IF(COUNTIF(M32:M32,"Blocked")&gt;0,"Blocked",IF(COUNTIF(M32:M32,"NI")&gt;0,"NI",IF(COUNTIF(M32:M32,"Pass")&gt;0,"Pass",""))))</f>
        <v/>
      </c>
      <c r="M32" s="17" t="n"/>
      <c r="N32" s="18" t="n"/>
      <c r="O32" s="18" t="n"/>
      <c r="P32" s="14" t="inlineStr">
        <is>
          <t>주소 끝에 `?screen=s7`을 붙입니다. 커뮤니티 탭은 전시용 정적이지만 공개 화면이라 통과합니다</t>
        </is>
      </c>
      <c r="Q32" s="10" t="inlineStr">
        <is>
          <t>TC-GAT-006</t>
        </is>
      </c>
      <c r="R32" s="10" t="inlineStr">
        <is>
          <t>결정적</t>
        </is>
      </c>
    </row>
  </sheetData>
  <autoFilter ref="B4:R32"/>
  <mergeCells count="59">
    <mergeCell ref="M3"/>
    <mergeCell ref="L9"/>
    <mergeCell ref="G17:G18"/>
    <mergeCell ref="H29:H30"/>
    <mergeCell ref="P22:P23"/>
    <mergeCell ref="F25:F26"/>
    <mergeCell ref="B9:K9"/>
    <mergeCell ref="B3:B4"/>
    <mergeCell ref="N3:N4"/>
    <mergeCell ref="L6"/>
    <mergeCell ref="F3:F4"/>
    <mergeCell ref="B6:K6"/>
    <mergeCell ref="H11:H12"/>
    <mergeCell ref="G19:G20"/>
    <mergeCell ref="B5:K5"/>
    <mergeCell ref="P11:P12"/>
    <mergeCell ref="P27:P28"/>
    <mergeCell ref="H17:H18"/>
    <mergeCell ref="F22:F23"/>
    <mergeCell ref="G3:G4"/>
    <mergeCell ref="P17:P18"/>
    <mergeCell ref="H22:H23"/>
    <mergeCell ref="I3:I4"/>
    <mergeCell ref="D3:D4"/>
    <mergeCell ref="B7:K7"/>
    <mergeCell ref="L7"/>
    <mergeCell ref="H19:H20"/>
    <mergeCell ref="G14:G15"/>
    <mergeCell ref="G29:G30"/>
    <mergeCell ref="P19:P20"/>
    <mergeCell ref="F27:F28"/>
    <mergeCell ref="H27:H28"/>
    <mergeCell ref="P3:P4"/>
    <mergeCell ref="L3"/>
    <mergeCell ref="H3:H4"/>
    <mergeCell ref="R3:R4"/>
    <mergeCell ref="J3:J4"/>
    <mergeCell ref="B2:E2"/>
    <mergeCell ref="G25:G26"/>
    <mergeCell ref="N5:R9"/>
    <mergeCell ref="L5"/>
    <mergeCell ref="F29:F30"/>
    <mergeCell ref="H14:H15"/>
    <mergeCell ref="G22:G23"/>
    <mergeCell ref="P14:P15"/>
    <mergeCell ref="B8:K8"/>
    <mergeCell ref="L8"/>
    <mergeCell ref="K3:K4"/>
    <mergeCell ref="F19:F20"/>
    <mergeCell ref="G27:G28"/>
    <mergeCell ref="C3:C4"/>
    <mergeCell ref="O3:O4"/>
    <mergeCell ref="E3:E4"/>
    <mergeCell ref="Q3:Q4"/>
    <mergeCell ref="F2:R2"/>
    <mergeCell ref="G11:G12"/>
    <mergeCell ref="P29:P30"/>
    <mergeCell ref="H25:H26"/>
    <mergeCell ref="P25:P26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31" t="inlineStr">
        <is>
          <t>커버리지 요약</t>
        </is>
      </c>
    </row>
    <row r="3">
      <c r="B3" s="32" t="inlineStr">
        <is>
          <t>Test Case 시트를 참조하는 수식으로 자동 집계됩니다. 행을 추가하면 아래 범위를 넓히세요.</t>
        </is>
      </c>
    </row>
    <row r="4">
      <c r="B4" s="33" t="inlineStr">
        <is>
          <t>기준 골격 버전</t>
        </is>
      </c>
      <c r="C4" s="34" t="inlineStr">
        <is>
          <t>qa-lab-miyonchat-tree-v1.11</t>
        </is>
      </c>
      <c r="D4" s="35" t="n"/>
      <c r="E4" s="35" t="n"/>
    </row>
    <row r="5">
      <c r="B5" s="36" t="inlineStr">
        <is>
          <t>1-Depth (영역)</t>
        </is>
      </c>
      <c r="C5" s="36" t="inlineStr">
        <is>
          <t>TC 수</t>
        </is>
      </c>
      <c r="D5" s="36" t="inlineStr">
        <is>
          <t>Priority</t>
        </is>
      </c>
      <c r="E5" s="35" t="n"/>
      <c r="F5" s="35" t="n"/>
      <c r="G5" s="36" t="inlineStr">
        <is>
          <t>Web</t>
        </is>
      </c>
      <c r="H5" s="35" t="n"/>
      <c r="I5" s="35" t="n"/>
      <c r="J5" s="35" t="n"/>
      <c r="K5" s="35" t="n"/>
    </row>
    <row r="6">
      <c r="B6" s="35" t="n"/>
      <c r="C6" s="35" t="n"/>
      <c r="D6" s="37" t="inlineStr">
        <is>
          <t>High</t>
        </is>
      </c>
      <c r="E6" s="37" t="inlineStr">
        <is>
          <t>Medium</t>
        </is>
      </c>
      <c r="F6" s="37" t="inlineStr">
        <is>
          <t>Low</t>
        </is>
      </c>
      <c r="G6" s="37" t="inlineStr">
        <is>
          <t>Pass</t>
        </is>
      </c>
      <c r="H6" s="37" t="inlineStr">
        <is>
          <t>Fail</t>
        </is>
      </c>
      <c r="I6" s="37" t="inlineStr">
        <is>
          <t>Blocked</t>
        </is>
      </c>
      <c r="J6" s="37" t="inlineStr">
        <is>
          <t>Pass율</t>
        </is>
      </c>
      <c r="K6" s="35" t="n"/>
    </row>
    <row r="7">
      <c r="B7" s="38" t="inlineStr">
        <is>
          <t>웹 진입</t>
        </is>
      </c>
      <c r="C7" s="39">
        <f>COUNTIF('Test Case'!$C$10:$C$500,$B7)</f>
        <v/>
      </c>
      <c r="D7" s="39">
        <f>COUNTIFS('Test Case'!$C$10:$C$500,$B7,'Test Case'!$K$10:$K$500,"High")</f>
        <v/>
      </c>
      <c r="E7" s="39">
        <f>COUNTIFS('Test Case'!$C$10:$C$500,$B7,'Test Case'!$K$10:$K$500,"Medium")</f>
        <v/>
      </c>
      <c r="F7" s="39">
        <f>COUNTIFS('Test Case'!$C$10:$C$500,$B7,'Test Case'!$K$10:$K$500,"Low")</f>
        <v/>
      </c>
      <c r="G7" s="39">
        <f>COUNTIFS('Test Case'!$C$10:$C$500,$B7,'Test Case'!$M$10:$M$500,"Pass")</f>
        <v/>
      </c>
      <c r="H7" s="39">
        <f>COUNTIFS('Test Case'!$C$10:$C$500,$B7,'Test Case'!$M$10:$M$500,"Fail")</f>
        <v/>
      </c>
      <c r="I7" s="39">
        <f>COUNTIFS('Test Case'!$C$10:$C$500,$B7,'Test Case'!$M$10:$M$500,"Blocked")</f>
        <v/>
      </c>
      <c r="J7" s="40">
        <f>IF(G7+H7=0,"",G7/(G7+H7))</f>
        <v/>
      </c>
    </row>
    <row r="8">
      <c r="B8" s="38" t="inlineStr">
        <is>
          <t>전역 셸</t>
        </is>
      </c>
      <c r="C8" s="39">
        <f>COUNTIF('Test Case'!$C$10:$C$500,$B8)</f>
        <v/>
      </c>
      <c r="D8" s="39">
        <f>COUNTIFS('Test Case'!$C$10:$C$500,$B8,'Test Case'!$K$10:$K$500,"High")</f>
        <v/>
      </c>
      <c r="E8" s="39">
        <f>COUNTIFS('Test Case'!$C$10:$C$500,$B8,'Test Case'!$K$10:$K$500,"Medium")</f>
        <v/>
      </c>
      <c r="F8" s="39">
        <f>COUNTIFS('Test Case'!$C$10:$C$500,$B8,'Test Case'!$K$10:$K$500,"Low")</f>
        <v/>
      </c>
      <c r="G8" s="39">
        <f>COUNTIFS('Test Case'!$C$10:$C$500,$B8,'Test Case'!$M$10:$M$500,"Pass")</f>
        <v/>
      </c>
      <c r="H8" s="39">
        <f>COUNTIFS('Test Case'!$C$10:$C$500,$B8,'Test Case'!$M$10:$M$500,"Fail")</f>
        <v/>
      </c>
      <c r="I8" s="39">
        <f>COUNTIFS('Test Case'!$C$10:$C$500,$B8,'Test Case'!$M$10:$M$500,"Blocked")</f>
        <v/>
      </c>
      <c r="J8" s="40">
        <f>IF(G8+H8=0,"",G8/(G8+H8))</f>
        <v/>
      </c>
    </row>
    <row r="9">
      <c r="B9" s="38" t="inlineStr">
        <is>
          <t>홈 화면</t>
        </is>
      </c>
      <c r="C9" s="39">
        <f>COUNTIF('Test Case'!$C$10:$C$500,$B9)</f>
        <v/>
      </c>
      <c r="D9" s="39">
        <f>COUNTIFS('Test Case'!$C$10:$C$500,$B9,'Test Case'!$K$10:$K$500,"High")</f>
        <v/>
      </c>
      <c r="E9" s="39">
        <f>COUNTIFS('Test Case'!$C$10:$C$500,$B9,'Test Case'!$K$10:$K$500,"Medium")</f>
        <v/>
      </c>
      <c r="F9" s="39">
        <f>COUNTIFS('Test Case'!$C$10:$C$500,$B9,'Test Case'!$K$10:$K$500,"Low")</f>
        <v/>
      </c>
      <c r="G9" s="39">
        <f>COUNTIFS('Test Case'!$C$10:$C$500,$B9,'Test Case'!$M$10:$M$500,"Pass")</f>
        <v/>
      </c>
      <c r="H9" s="39">
        <f>COUNTIFS('Test Case'!$C$10:$C$500,$B9,'Test Case'!$M$10:$M$500,"Fail")</f>
        <v/>
      </c>
      <c r="I9" s="39">
        <f>COUNTIFS('Test Case'!$C$10:$C$500,$B9,'Test Case'!$M$10:$M$500,"Blocked")</f>
        <v/>
      </c>
      <c r="J9" s="40">
        <f>IF(G9+H9=0,"",G9/(G9+H9))</f>
        <v/>
      </c>
    </row>
    <row r="10">
      <c r="B10" s="38" t="inlineStr">
        <is>
          <t>캐릭터 페이지</t>
        </is>
      </c>
      <c r="C10" s="39">
        <f>COUNTIF('Test Case'!$C$10:$C$500,$B10)</f>
        <v/>
      </c>
      <c r="D10" s="39">
        <f>COUNTIFS('Test Case'!$C$10:$C$500,$B10,'Test Case'!$K$10:$K$500,"High")</f>
        <v/>
      </c>
      <c r="E10" s="39">
        <f>COUNTIFS('Test Case'!$C$10:$C$500,$B10,'Test Case'!$K$10:$K$500,"Medium")</f>
        <v/>
      </c>
      <c r="F10" s="39">
        <f>COUNTIFS('Test Case'!$C$10:$C$500,$B10,'Test Case'!$K$10:$K$500,"Low")</f>
        <v/>
      </c>
      <c r="G10" s="39">
        <f>COUNTIFS('Test Case'!$C$10:$C$500,$B10,'Test Case'!$M$10:$M$500,"Pass")</f>
        <v/>
      </c>
      <c r="H10" s="39">
        <f>COUNTIFS('Test Case'!$C$10:$C$500,$B10,'Test Case'!$M$10:$M$500,"Fail")</f>
        <v/>
      </c>
      <c r="I10" s="39">
        <f>COUNTIFS('Test Case'!$C$10:$C$500,$B10,'Test Case'!$M$10:$M$500,"Blocked")</f>
        <v/>
      </c>
      <c r="J10" s="40">
        <f>IF(G10+H10=0,"",G10/(G10+H10))</f>
        <v/>
      </c>
    </row>
    <row r="11">
      <c r="B11" s="38" t="inlineStr">
        <is>
          <t>대화 프로필 화면</t>
        </is>
      </c>
      <c r="C11" s="39">
        <f>COUNTIF('Test Case'!$C$10:$C$500,$B11)</f>
        <v/>
      </c>
      <c r="D11" s="39">
        <f>COUNTIFS('Test Case'!$C$10:$C$500,$B11,'Test Case'!$K$10:$K$500,"High")</f>
        <v/>
      </c>
      <c r="E11" s="39">
        <f>COUNTIFS('Test Case'!$C$10:$C$500,$B11,'Test Case'!$K$10:$K$500,"Medium")</f>
        <v/>
      </c>
      <c r="F11" s="39">
        <f>COUNTIFS('Test Case'!$C$10:$C$500,$B11,'Test Case'!$K$10:$K$500,"Low")</f>
        <v/>
      </c>
      <c r="G11" s="39">
        <f>COUNTIFS('Test Case'!$C$10:$C$500,$B11,'Test Case'!$M$10:$M$500,"Pass")</f>
        <v/>
      </c>
      <c r="H11" s="39">
        <f>COUNTIFS('Test Case'!$C$10:$C$500,$B11,'Test Case'!$M$10:$M$500,"Fail")</f>
        <v/>
      </c>
      <c r="I11" s="39">
        <f>COUNTIFS('Test Case'!$C$10:$C$500,$B11,'Test Case'!$M$10:$M$500,"Blocked")</f>
        <v/>
      </c>
      <c r="J11" s="40">
        <f>IF(G11+H11=0,"",G11/(G11+H11))</f>
        <v/>
      </c>
    </row>
    <row r="12">
      <c r="B12" s="38" t="inlineStr">
        <is>
          <t>대화방</t>
        </is>
      </c>
      <c r="C12" s="39">
        <f>COUNTIF('Test Case'!$C$10:$C$500,$B12)</f>
        <v/>
      </c>
      <c r="D12" s="39">
        <f>COUNTIFS('Test Case'!$C$10:$C$500,$B12,'Test Case'!$K$10:$K$500,"High")</f>
        <v/>
      </c>
      <c r="E12" s="39">
        <f>COUNTIFS('Test Case'!$C$10:$C$500,$B12,'Test Case'!$K$10:$K$500,"Medium")</f>
        <v/>
      </c>
      <c r="F12" s="39">
        <f>COUNTIFS('Test Case'!$C$10:$C$500,$B12,'Test Case'!$K$10:$K$500,"Low")</f>
        <v/>
      </c>
      <c r="G12" s="39">
        <f>COUNTIFS('Test Case'!$C$10:$C$500,$B12,'Test Case'!$M$10:$M$500,"Pass")</f>
        <v/>
      </c>
      <c r="H12" s="39">
        <f>COUNTIFS('Test Case'!$C$10:$C$500,$B12,'Test Case'!$M$10:$M$500,"Fail")</f>
        <v/>
      </c>
      <c r="I12" s="39">
        <f>COUNTIFS('Test Case'!$C$10:$C$500,$B12,'Test Case'!$M$10:$M$500,"Blocked")</f>
        <v/>
      </c>
      <c r="J12" s="40">
        <f>IF(G12+H12=0,"",G12/(G12+H12))</f>
        <v/>
      </c>
    </row>
    <row r="13">
      <c r="B13" s="38" t="inlineStr">
        <is>
          <t>채팅 탭</t>
        </is>
      </c>
      <c r="C13" s="39">
        <f>COUNTIF('Test Case'!$C$10:$C$500,$B13)</f>
        <v/>
      </c>
      <c r="D13" s="39">
        <f>COUNTIFS('Test Case'!$C$10:$C$500,$B13,'Test Case'!$K$10:$K$500,"High")</f>
        <v/>
      </c>
      <c r="E13" s="39">
        <f>COUNTIFS('Test Case'!$C$10:$C$500,$B13,'Test Case'!$K$10:$K$500,"Medium")</f>
        <v/>
      </c>
      <c r="F13" s="39">
        <f>COUNTIFS('Test Case'!$C$10:$C$500,$B13,'Test Case'!$K$10:$K$500,"Low")</f>
        <v/>
      </c>
      <c r="G13" s="39">
        <f>COUNTIFS('Test Case'!$C$10:$C$500,$B13,'Test Case'!$M$10:$M$500,"Pass")</f>
        <v/>
      </c>
      <c r="H13" s="39">
        <f>COUNTIFS('Test Case'!$C$10:$C$500,$B13,'Test Case'!$M$10:$M$500,"Fail")</f>
        <v/>
      </c>
      <c r="I13" s="39">
        <f>COUNTIFS('Test Case'!$C$10:$C$500,$B13,'Test Case'!$M$10:$M$500,"Blocked")</f>
        <v/>
      </c>
      <c r="J13" s="40">
        <f>IF(G13+H13=0,"",G13/(G13+H13))</f>
        <v/>
      </c>
    </row>
    <row r="14">
      <c r="B14" s="38" t="inlineStr">
        <is>
          <t>MY 탭</t>
        </is>
      </c>
      <c r="C14" s="39">
        <f>COUNTIF('Test Case'!$C$10:$C$500,$B14)</f>
        <v/>
      </c>
      <c r="D14" s="39">
        <f>COUNTIFS('Test Case'!$C$10:$C$500,$B14,'Test Case'!$K$10:$K$500,"High")</f>
        <v/>
      </c>
      <c r="E14" s="39">
        <f>COUNTIFS('Test Case'!$C$10:$C$500,$B14,'Test Case'!$K$10:$K$500,"Medium")</f>
        <v/>
      </c>
      <c r="F14" s="39">
        <f>COUNTIFS('Test Case'!$C$10:$C$500,$B14,'Test Case'!$K$10:$K$500,"Low")</f>
        <v/>
      </c>
      <c r="G14" s="39">
        <f>COUNTIFS('Test Case'!$C$10:$C$500,$B14,'Test Case'!$M$10:$M$500,"Pass")</f>
        <v/>
      </c>
      <c r="H14" s="39">
        <f>COUNTIFS('Test Case'!$C$10:$C$500,$B14,'Test Case'!$M$10:$M$500,"Fail")</f>
        <v/>
      </c>
      <c r="I14" s="39">
        <f>COUNTIFS('Test Case'!$C$10:$C$500,$B14,'Test Case'!$M$10:$M$500,"Blocked")</f>
        <v/>
      </c>
      <c r="J14" s="40">
        <f>IF(G14+H14=0,"",G14/(G14+H14))</f>
        <v/>
      </c>
    </row>
    <row r="15">
      <c r="B15" s="38" t="inlineStr">
        <is>
          <t>재화</t>
        </is>
      </c>
      <c r="C15" s="39">
        <f>COUNTIF('Test Case'!$C$10:$C$500,$B15)</f>
        <v/>
      </c>
      <c r="D15" s="39">
        <f>COUNTIFS('Test Case'!$C$10:$C$500,$B15,'Test Case'!$K$10:$K$500,"High")</f>
        <v/>
      </c>
      <c r="E15" s="39">
        <f>COUNTIFS('Test Case'!$C$10:$C$500,$B15,'Test Case'!$K$10:$K$500,"Medium")</f>
        <v/>
      </c>
      <c r="F15" s="39">
        <f>COUNTIFS('Test Case'!$C$10:$C$500,$B15,'Test Case'!$K$10:$K$500,"Low")</f>
        <v/>
      </c>
      <c r="G15" s="39">
        <f>COUNTIFS('Test Case'!$C$10:$C$500,$B15,'Test Case'!$M$10:$M$500,"Pass")</f>
        <v/>
      </c>
      <c r="H15" s="39">
        <f>COUNTIFS('Test Case'!$C$10:$C$500,$B15,'Test Case'!$M$10:$M$500,"Fail")</f>
        <v/>
      </c>
      <c r="I15" s="39">
        <f>COUNTIFS('Test Case'!$C$10:$C$500,$B15,'Test Case'!$M$10:$M$500,"Blocked")</f>
        <v/>
      </c>
      <c r="J15" s="40">
        <f>IF(G15+H15=0,"",G15/(G15+H15))</f>
        <v/>
      </c>
    </row>
    <row r="16">
      <c r="B16" s="38" t="inlineStr">
        <is>
          <t>스텁·정적</t>
        </is>
      </c>
      <c r="C16" s="39">
        <f>COUNTIF('Test Case'!$C$10:$C$500,$B16)</f>
        <v/>
      </c>
      <c r="D16" s="39">
        <f>COUNTIFS('Test Case'!$C$10:$C$500,$B16,'Test Case'!$K$10:$K$500,"High")</f>
        <v/>
      </c>
      <c r="E16" s="39">
        <f>COUNTIFS('Test Case'!$C$10:$C$500,$B16,'Test Case'!$K$10:$K$500,"Medium")</f>
        <v/>
      </c>
      <c r="F16" s="39">
        <f>COUNTIFS('Test Case'!$C$10:$C$500,$B16,'Test Case'!$K$10:$K$500,"Low")</f>
        <v/>
      </c>
      <c r="G16" s="39">
        <f>COUNTIFS('Test Case'!$C$10:$C$500,$B16,'Test Case'!$M$10:$M$500,"Pass")</f>
        <v/>
      </c>
      <c r="H16" s="39">
        <f>COUNTIFS('Test Case'!$C$10:$C$500,$B16,'Test Case'!$M$10:$M$500,"Fail")</f>
        <v/>
      </c>
      <c r="I16" s="39">
        <f>COUNTIFS('Test Case'!$C$10:$C$500,$B16,'Test Case'!$M$10:$M$500,"Blocked")</f>
        <v/>
      </c>
      <c r="J16" s="40">
        <f>IF(G16+H16=0,"",G16/(G16+H16))</f>
        <v/>
      </c>
    </row>
    <row r="17">
      <c r="B17" s="41" t="inlineStr">
        <is>
          <t>합계</t>
        </is>
      </c>
      <c r="C17" s="42">
        <f>SUM(C7:C16)</f>
        <v/>
      </c>
      <c r="D17" s="42">
        <f>SUM(D7:D16)</f>
        <v/>
      </c>
      <c r="E17" s="42">
        <f>SUM(E7:E16)</f>
        <v/>
      </c>
      <c r="F17" s="42">
        <f>SUM(F7:F16)</f>
        <v/>
      </c>
      <c r="G17" s="42">
        <f>SUM(G7:G16)</f>
        <v/>
      </c>
      <c r="H17" s="42">
        <f>SUM(H7:H16)</f>
        <v/>
      </c>
      <c r="I17" s="42">
        <f>SUM(I7:I16)</f>
        <v/>
      </c>
      <c r="J17" s="43">
        <f>IF(G17+H17=0,"",G17/(G17+H17))</f>
        <v/>
      </c>
      <c r="K17" s="42">
        <f>SUM(K7:K16)</f>
        <v/>
      </c>
    </row>
    <row r="19">
      <c r="B19" s="32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44" t="inlineStr">
        <is>
          <t>프로젝트 ID</t>
        </is>
      </c>
      <c r="C2" s="44" t="inlineStr">
        <is>
          <t>Issue No.</t>
        </is>
      </c>
      <c r="D2" s="44" t="inlineStr">
        <is>
          <t>이슈 상태</t>
        </is>
      </c>
      <c r="E2" s="44" t="inlineStr">
        <is>
          <t>요약(Summary)</t>
        </is>
      </c>
      <c r="F2" s="44" t="inlineStr">
        <is>
          <t>설명</t>
        </is>
      </c>
      <c r="G2" s="44" t="inlineStr">
        <is>
          <t>우선순위</t>
        </is>
      </c>
      <c r="H2" s="44" t="inlineStr">
        <is>
          <t>빈도</t>
        </is>
      </c>
      <c r="I2" s="44" t="inlineStr">
        <is>
          <t>영향 받는 버전</t>
        </is>
      </c>
      <c r="J2" s="44" t="inlineStr">
        <is>
          <t>수정 버전</t>
        </is>
      </c>
      <c r="K2" s="44" t="inlineStr">
        <is>
          <t>해결책</t>
        </is>
      </c>
      <c r="L2" s="44" t="inlineStr">
        <is>
          <t>환경</t>
        </is>
      </c>
      <c r="M2" s="44" t="inlineStr">
        <is>
          <t>레이블</t>
        </is>
      </c>
      <c r="N2" s="44" t="inlineStr">
        <is>
          <t>보고자</t>
        </is>
      </c>
      <c r="O2" s="44" t="inlineStr">
        <is>
          <t>담당자</t>
        </is>
      </c>
      <c r="P2" s="44" t="inlineStr">
        <is>
          <t>관측자</t>
        </is>
      </c>
      <c r="Q2" s="44" t="inlineStr">
        <is>
          <t>첨부파일</t>
        </is>
      </c>
      <c r="R2" s="44" t="inlineStr">
        <is>
          <t>스프린트</t>
        </is>
      </c>
      <c r="S2" s="44" t="inlineStr">
        <is>
          <t>이슈 등록일</t>
        </is>
      </c>
      <c r="T2" s="44" t="inlineStr">
        <is>
          <t>이슈 최종 수정일자</t>
        </is>
      </c>
      <c r="U2" s="44" t="inlineStr">
        <is>
          <t>이슈 상태 최종 변경일자</t>
        </is>
      </c>
    </row>
    <row r="3">
      <c r="B3" s="45" t="inlineStr">
        <is>
          <t>miyonchat</t>
        </is>
      </c>
      <c r="C3" s="45" t="inlineStr">
        <is>
          <t>miyonchat-1</t>
        </is>
      </c>
      <c r="D3" s="45" t="inlineStr">
        <is>
          <t>Resolved</t>
        </is>
      </c>
      <c r="E3" s="46" t="inlineStr">
        <is>
          <t>디버그 콘솔 &gt; 전체 초기화(reset) 수행 &gt; 계정 A 로그인 시, 성인 인증이 해제된 상태로 시작됨</t>
        </is>
      </c>
      <c r="F3" s="46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45" t="inlineStr">
        <is>
          <t>High</t>
        </is>
      </c>
      <c r="H3" s="45" t="inlineStr">
        <is>
          <t>Always</t>
        </is>
      </c>
      <c r="I3" s="45" t="inlineStr">
        <is>
          <t>PC웹_Ver1.0_Dev_RC1</t>
        </is>
      </c>
      <c r="J3" s="45" t="inlineStr">
        <is>
          <t>PC웹_Ver1.0_Dev_RC2</t>
        </is>
      </c>
      <c r="K3" s="45" t="inlineStr">
        <is>
          <t>Fixed</t>
        </is>
      </c>
      <c r="L3" s="45" t="inlineStr">
        <is>
          <t>PC웹</t>
        </is>
      </c>
      <c r="M3" s="45" t="inlineStr">
        <is>
          <t>계정/게이팅</t>
        </is>
      </c>
      <c r="N3" s="45" t="inlineStr">
        <is>
          <t>정준호</t>
        </is>
      </c>
      <c r="O3" s="45" t="inlineStr">
        <is>
          <t>Claude Opus 5</t>
        </is>
      </c>
      <c r="P3" s="45" t="inlineStr"/>
      <c r="Q3" s="45" t="inlineStr"/>
      <c r="R3" s="45" t="inlineStr">
        <is>
          <t>PC웹_Ver1.0_Dev</t>
        </is>
      </c>
      <c r="S3" s="45" t="inlineStr">
        <is>
          <t>2026-08-02</t>
        </is>
      </c>
      <c r="T3" s="45" t="inlineStr">
        <is>
          <t>2026-08-02</t>
        </is>
      </c>
      <c r="U3" s="45" t="inlineStr">
        <is>
          <t>2026-08-02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  <col width="14" customWidth="1" min="11" max="11"/>
    <col width="17" customWidth="1" min="12" max="12"/>
    <col width="18" customWidth="1" min="13" max="13"/>
  </cols>
  <sheetData>
    <row r="2">
      <c r="B2" s="47" t="inlineStr">
        <is>
          <t>프로젝트</t>
        </is>
      </c>
      <c r="C2" s="47" t="inlineStr">
        <is>
          <t>실행 주체</t>
        </is>
      </c>
      <c r="D2" s="47" t="inlineStr">
        <is>
          <t>이슈 상태</t>
        </is>
      </c>
      <c r="E2" s="47" t="inlineStr">
        <is>
          <t>우선순위</t>
        </is>
      </c>
      <c r="F2" s="47" t="inlineStr">
        <is>
          <t>빈도</t>
        </is>
      </c>
      <c r="G2" s="47" t="inlineStr">
        <is>
          <t>버전(영향/수정 공용)</t>
        </is>
      </c>
      <c r="H2" s="47" t="inlineStr">
        <is>
          <t>해결책</t>
        </is>
      </c>
      <c r="I2" s="47" t="inlineStr">
        <is>
          <t>환경</t>
        </is>
      </c>
      <c r="J2" s="47" t="inlineStr">
        <is>
          <t>레이블</t>
        </is>
      </c>
      <c r="K2" s="47" t="inlineStr">
        <is>
          <t>보고자</t>
        </is>
      </c>
      <c r="L2" s="47" t="inlineStr">
        <is>
          <t>담당자</t>
        </is>
      </c>
      <c r="M2" s="47" t="inlineStr">
        <is>
          <t>스프린트</t>
        </is>
      </c>
    </row>
    <row r="3">
      <c r="B3" s="48" t="inlineStr">
        <is>
          <t>miyonchat</t>
        </is>
      </c>
      <c r="C3" s="48" t="inlineStr">
        <is>
          <t>자동화 전용</t>
        </is>
      </c>
      <c r="D3" s="48" t="inlineStr">
        <is>
          <t>Open</t>
        </is>
      </c>
      <c r="E3" s="48" t="inlineStr">
        <is>
          <t>High</t>
        </is>
      </c>
      <c r="F3" s="48" t="inlineStr">
        <is>
          <t>Always</t>
        </is>
      </c>
      <c r="G3" s="48" t="inlineStr">
        <is>
          <t>PC웹_Ver1.0_Dev_RC1</t>
        </is>
      </c>
      <c r="H3" s="48" t="inlineStr">
        <is>
          <t>Fixed</t>
        </is>
      </c>
      <c r="I3" s="48" t="inlineStr">
        <is>
          <t>PC웹</t>
        </is>
      </c>
      <c r="J3" s="48" t="inlineStr">
        <is>
          <t>앱 진입/세션</t>
        </is>
      </c>
      <c r="K3" s="48" t="inlineStr">
        <is>
          <t>정준호</t>
        </is>
      </c>
      <c r="L3" s="48" t="inlineStr">
        <is>
          <t>Claude Opus 5</t>
        </is>
      </c>
      <c r="M3" s="48" t="inlineStr">
        <is>
          <t>PC웹_Ver1.0_Dev</t>
        </is>
      </c>
    </row>
    <row r="4">
      <c r="C4" s="48" t="inlineStr">
        <is>
          <t>공통</t>
        </is>
      </c>
      <c r="D4" s="48" t="inlineStr">
        <is>
          <t>In Progress</t>
        </is>
      </c>
      <c r="E4" s="48" t="inlineStr">
        <is>
          <t>Medium</t>
        </is>
      </c>
      <c r="F4" s="48" t="inlineStr">
        <is>
          <t>Often</t>
        </is>
      </c>
      <c r="G4" s="48" t="inlineStr">
        <is>
          <t>PC웹_Ver1.0_Dev_RC2</t>
        </is>
      </c>
      <c r="H4" s="48" t="inlineStr">
        <is>
          <t>Won't Do</t>
        </is>
      </c>
      <c r="J4" s="48" t="inlineStr">
        <is>
          <t>계정/게이팅</t>
        </is>
      </c>
      <c r="M4" s="48" t="inlineStr">
        <is>
          <t>PC웹_Ver1.0_RT1</t>
        </is>
      </c>
    </row>
    <row r="5">
      <c r="C5" s="48" t="inlineStr">
        <is>
          <t>사람 전용</t>
        </is>
      </c>
      <c r="D5" s="48" t="inlineStr">
        <is>
          <t>Resolved</t>
        </is>
      </c>
      <c r="E5" s="48" t="inlineStr">
        <is>
          <t>Low</t>
        </is>
      </c>
      <c r="F5" s="48" t="inlineStr">
        <is>
          <t>Sometimes</t>
        </is>
      </c>
      <c r="G5" s="48" t="inlineStr">
        <is>
          <t>PC웹_Ver1.0_Dev_RC3</t>
        </is>
      </c>
      <c r="H5" s="48" t="inlineStr">
        <is>
          <t>Won't Fix</t>
        </is>
      </c>
      <c r="J5" s="48" t="inlineStr">
        <is>
          <t>탐색/발견</t>
        </is>
      </c>
    </row>
    <row r="6">
      <c r="D6" s="48" t="inlineStr">
        <is>
          <t>Reopen</t>
        </is>
      </c>
      <c r="F6" s="48" t="inlineStr">
        <is>
          <t>Once</t>
        </is>
      </c>
      <c r="G6" s="48" t="inlineStr">
        <is>
          <t>PC웹_Ver1.0_RT1_RC1</t>
        </is>
      </c>
      <c r="H6" s="48" t="inlineStr">
        <is>
          <t>Duplicate</t>
        </is>
      </c>
      <c r="J6" s="48" t="inlineStr">
        <is>
          <t>유저 페르소나</t>
        </is>
      </c>
    </row>
    <row r="7">
      <c r="D7" s="48" t="inlineStr">
        <is>
          <t>Closed</t>
        </is>
      </c>
      <c r="H7" s="48" t="inlineStr">
        <is>
          <t>Incomplete</t>
        </is>
      </c>
      <c r="J7" s="48" t="inlineStr">
        <is>
          <t>재화</t>
        </is>
      </c>
    </row>
    <row r="8">
      <c r="H8" s="48" t="inlineStr">
        <is>
          <t>Cannot Reproduce</t>
        </is>
      </c>
      <c r="J8" s="48" t="inlineStr">
        <is>
          <t>서사 시스템</t>
        </is>
      </c>
    </row>
    <row r="9">
      <c r="H9" s="48" t="inlineStr">
        <is>
          <t>Done</t>
        </is>
      </c>
      <c r="J9" s="48" t="inlineStr">
        <is>
          <t>대화 세션</t>
        </is>
      </c>
    </row>
    <row r="10">
      <c r="H10" s="48" t="inlineStr">
        <is>
          <t>Declined</t>
        </is>
      </c>
      <c r="J10" s="48" t="inlineStr">
        <is>
          <t>세이브/로드</t>
        </is>
      </c>
    </row>
    <row r="11">
      <c r="J11" s="48" t="inlineStr">
        <is>
          <t>메모리/컨텍스트</t>
        </is>
      </c>
    </row>
    <row r="12">
      <c r="J12" s="48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49" t="inlineStr">
        <is>
          <t>명세서 — 시트 규칙 정본</t>
        </is>
      </c>
    </row>
    <row r="3">
      <c r="B3" s="50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31" t="inlineStr">
        <is>
          <t>1. 시트 구성</t>
        </is>
      </c>
    </row>
    <row r="6">
      <c r="B6" s="47" t="inlineStr">
        <is>
          <t>시트</t>
        </is>
      </c>
      <c r="C6" s="47" t="inlineStr">
        <is>
          <t>역할</t>
        </is>
      </c>
    </row>
    <row r="7">
      <c r="B7" s="46" t="inlineStr">
        <is>
          <t>Test Case</t>
        </is>
      </c>
      <c r="C7" s="46" t="inlineStr">
        <is>
          <t>TC 작성과 실행 기록. 노란 셀은 실행 단계에서 채워집니다</t>
        </is>
      </c>
    </row>
    <row r="8">
      <c r="B8" s="46" t="inlineStr">
        <is>
          <t>Summary</t>
        </is>
      </c>
      <c r="C8" s="46" t="inlineStr">
        <is>
          <t>행 단위 자동 집계(1-Depth 기준). 기준 골격 버전(C4)은 생성 시 자동 기입됩니다</t>
        </is>
      </c>
    </row>
    <row r="9">
      <c r="B9" s="46" t="inlineStr">
        <is>
          <t>이슈 관리 시트</t>
        </is>
      </c>
      <c r="C9" s="46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46" t="inlineStr">
        <is>
          <t>목록</t>
        </is>
      </c>
      <c r="C10" s="46" t="inlineStr">
        <is>
          <t>드롭다운 참조 목록의 정본. 숨기지 않고 맨 뒤에 둡니다</t>
        </is>
      </c>
    </row>
    <row r="11">
      <c r="B11" s="46" t="inlineStr">
        <is>
          <t>명세서</t>
        </is>
      </c>
      <c r="C11" s="46" t="inlineStr">
        <is>
          <t>이 시트 — 구조 규칙의 정본</t>
        </is>
      </c>
    </row>
    <row r="13">
      <c r="B13" s="31" t="inlineStr">
        <is>
          <t>2. 컬럼 정의 (Test Case)</t>
        </is>
      </c>
    </row>
    <row r="14">
      <c r="B14" s="47" t="inlineStr">
        <is>
          <t>컬럼</t>
        </is>
      </c>
      <c r="C14" s="47" t="inlineStr">
        <is>
          <t>내용</t>
        </is>
      </c>
      <c r="D14" s="47" t="inlineStr">
        <is>
          <t>채우는 규칙</t>
        </is>
      </c>
    </row>
    <row r="15">
      <c r="B15" s="46" t="inlineStr">
        <is>
          <t>No</t>
        </is>
      </c>
      <c r="C15" s="46" t="inlineStr">
        <is>
          <t>행 번호</t>
        </is>
      </c>
      <c r="D15" s="46" t="inlineStr">
        <is>
          <t>자동 수식(ROW() 기준). 직접 입력하지 않습니다</t>
        </is>
      </c>
    </row>
    <row r="16">
      <c r="B16" s="46" t="inlineStr">
        <is>
          <t>1~7-Depth</t>
        </is>
      </c>
      <c r="C16" s="46" t="inlineStr">
        <is>
          <t>기능 계층</t>
        </is>
      </c>
      <c r="D16" s="46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46" t="inlineStr">
        <is>
          <t>Pre-Condition</t>
        </is>
      </c>
      <c r="C17" s="46" t="inlineStr">
        <is>
          <t>사전조건</t>
        </is>
      </c>
      <c r="D17" s="46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46" t="inlineStr">
        <is>
          <t>TN</t>
        </is>
      </c>
      <c r="C18" s="46" t="inlineStr">
        <is>
          <t>스텝 번호</t>
        </is>
      </c>
      <c r="D18" s="46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46" t="inlineStr">
        <is>
          <t>Test-Step</t>
        </is>
      </c>
      <c r="C19" s="46" t="inlineStr">
        <is>
          <t>수행 동작</t>
        </is>
      </c>
      <c r="D19" s="46" t="inlineStr">
        <is>
          <t>「~한다」 체. TN과 같은 범위로 세로 병합</t>
        </is>
      </c>
    </row>
    <row r="20">
      <c r="B20" s="46" t="inlineStr">
        <is>
          <t>Expected-Result</t>
        </is>
      </c>
      <c r="C20" s="46" t="inlineStr">
        <is>
          <t>기대 결과</t>
        </is>
      </c>
      <c r="D20" s="46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46" t="inlineStr">
        <is>
          <t>실행 주체</t>
        </is>
      </c>
      <c r="C21" s="46" t="inlineStr">
        <is>
          <t>누가 수행하는가</t>
        </is>
      </c>
      <c r="D21" s="46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46" t="inlineStr">
        <is>
          <t>Priority</t>
        </is>
      </c>
      <c r="C22" s="46" t="inlineStr">
        <is>
          <t>우선순위</t>
        </is>
      </c>
      <c r="D22" s="46" t="inlineStr">
        <is>
          <t>행마다 반복. High/Medium/Low — 케이스의 속성이지만 Summary가 행 단위로 집계하므로 행마다 값을 둡니다</t>
        </is>
      </c>
    </row>
    <row r="23">
      <c r="B23" s="46" t="inlineStr">
        <is>
          <t>Total Result</t>
        </is>
      </c>
      <c r="C23" s="46" t="inlineStr">
        <is>
          <t>행 판정</t>
        </is>
      </c>
      <c r="D23" s="46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46" t="inlineStr">
        <is>
          <t>Result</t>
        </is>
      </c>
      <c r="C24" s="46" t="inlineStr">
        <is>
          <t>스텝 실행 결과</t>
        </is>
      </c>
      <c r="D24" s="46" t="inlineStr">
        <is>
          <t>드롭다운 4종(아래 상태값 정의). 실행 단계에서 채움 — 노란 셀</t>
        </is>
      </c>
    </row>
    <row r="25">
      <c r="B25" s="46" t="inlineStr">
        <is>
          <t>Issue No.</t>
        </is>
      </c>
      <c r="C25" s="46" t="inlineStr">
        <is>
          <t>관련 이슈</t>
        </is>
      </c>
      <c r="D25" s="46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46" t="inlineStr">
        <is>
          <t>Comment</t>
        </is>
      </c>
      <c r="C26" s="46" t="inlineStr">
        <is>
          <t>수행 중 기록</t>
        </is>
      </c>
      <c r="D26" s="46" t="inlineStr">
        <is>
          <t>TC를 수행하다 생긴 문제·관찰을 실행 단계에서 적습니다 — 노란 셀. 설계 시점에는 비어 있습니다</t>
        </is>
      </c>
    </row>
    <row r="27">
      <c r="B27" s="46" t="inlineStr">
        <is>
          <t>Note</t>
        </is>
      </c>
      <c r="C27" s="46" t="inlineStr">
        <is>
          <t>수행 전 참고사항</t>
        </is>
      </c>
      <c r="D27" s="46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46" t="inlineStr">
        <is>
          <t>TC ID</t>
        </is>
      </c>
      <c r="C28" s="46" t="inlineStr">
        <is>
          <t>조인 키</t>
        </is>
      </c>
      <c r="D28" s="46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46" t="inlineStr">
        <is>
          <t>검증유형</t>
        </is>
      </c>
      <c r="C29" s="46" t="inlineStr">
        <is>
          <t>판정 방식</t>
        </is>
      </c>
      <c r="D29" s="46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1">
      <c r="B31" s="31" t="inlineStr">
        <is>
          <t>3. 상태값 정의</t>
        </is>
      </c>
    </row>
    <row r="32">
      <c r="B32" s="47" t="inlineStr">
        <is>
          <t>상태</t>
        </is>
      </c>
      <c r="C32" s="47" t="inlineStr">
        <is>
          <t>정의</t>
        </is>
      </c>
      <c r="D32" s="47" t="inlineStr">
        <is>
          <t>Pass율 분모</t>
        </is>
      </c>
    </row>
    <row r="33">
      <c r="B33" s="46" t="inlineStr">
        <is>
          <t>Pass</t>
        </is>
      </c>
      <c r="C33" s="46" t="inlineStr">
        <is>
          <t>성공</t>
        </is>
      </c>
      <c r="D33" s="46" t="inlineStr">
        <is>
          <t>포함</t>
        </is>
      </c>
    </row>
    <row r="34">
      <c r="B34" s="46" t="inlineStr">
        <is>
          <t>Fail</t>
        </is>
      </c>
      <c r="C34" s="46" t="inlineStr">
        <is>
          <t>실패</t>
        </is>
      </c>
      <c r="D34" s="46" t="inlineStr">
        <is>
          <t>포함</t>
        </is>
      </c>
    </row>
    <row r="35">
      <c r="B35" s="46" t="inlineStr">
        <is>
          <t>NI</t>
        </is>
      </c>
      <c r="C35" s="46" t="inlineStr">
        <is>
          <t>미구현이거나 스펙에 없어 실행 대상이 아님 (Not Implemented)</t>
        </is>
      </c>
      <c r="D35" s="46" t="inlineStr">
        <is>
          <t>제외</t>
        </is>
      </c>
    </row>
    <row r="36">
      <c r="B36" s="46" t="inlineStr">
        <is>
          <t>Blocked</t>
        </is>
      </c>
      <c r="C36" s="46" t="inlineStr">
        <is>
          <t>기능은 구현됐으나 확인할 수 없는 상태 — 선행 케이스 Fail·환경 결함·데이터 준비 불가 등. 사유는 실행 과정에서 Comment에 적습니다</t>
        </is>
      </c>
      <c r="D36" s="46" t="inlineStr">
        <is>
          <t>제외</t>
        </is>
      </c>
    </row>
    <row r="37">
      <c r="B37" s="50" t="inlineStr">
        <is>
          <t>Pass율 = Pass ÷ (Pass + Fail). NI·Blocked를 분모에 넣지 않는 이유는 결함 1건이 후속 Blocked 수만큼 중복 계상되는 것을 막기 위해서입니다.</t>
        </is>
      </c>
    </row>
    <row r="39">
      <c r="B39" s="31" t="inlineStr">
        <is>
          <t>4. Total Result 규칙</t>
        </is>
      </c>
    </row>
    <row r="40">
      <c r="B40" s="47" t="inlineStr">
        <is>
          <t>항목</t>
        </is>
      </c>
      <c r="C40" s="47" t="inlineStr">
        <is>
          <t>규칙</t>
        </is>
      </c>
    </row>
    <row r="41">
      <c r="B41" s="46" t="inlineStr">
        <is>
          <t>우선순위</t>
        </is>
      </c>
      <c r="C41" s="46" t="inlineStr">
        <is>
          <t>Fail &gt; Blocked &gt; NI &gt; Pass — 스텝 중 하나라도 Fail이면 케이스 Fail</t>
        </is>
      </c>
    </row>
    <row r="42">
      <c r="B42" s="46" t="inlineStr">
        <is>
          <t>수식 원형</t>
        </is>
      </c>
      <c r="C42" s="46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3">
      <c r="B43" s="46" t="inlineStr">
        <is>
          <t>병합</t>
        </is>
      </c>
      <c r="C43" s="46" t="inlineStr">
        <is>
          <t>하지 않습니다 — 데이터 한 행씩 세웁니다. 같은 플랫폼에 단말이 여럿일 때 그 행의 단말 결과를 하나로 요약하는 자리입니다</t>
        </is>
      </c>
    </row>
    <row r="45">
      <c r="B45" s="31" t="inlineStr">
        <is>
          <t>5. TC ID 체계</t>
        </is>
      </c>
    </row>
    <row r="46">
      <c r="B46" s="47" t="inlineStr">
        <is>
          <t>항목</t>
        </is>
      </c>
      <c r="C46" s="47" t="inlineStr">
        <is>
          <t>규칙</t>
        </is>
      </c>
    </row>
    <row r="47">
      <c r="B47" s="46" t="inlineStr">
        <is>
          <t>형식</t>
        </is>
      </c>
      <c r="C47" s="46" t="inlineStr">
        <is>
          <t>TC-{영역코드}-{번호 3자리} — 예: TC-ENT-001</t>
        </is>
      </c>
    </row>
    <row r="48">
      <c r="B48" s="46" t="inlineStr">
        <is>
          <t>번호</t>
        </is>
      </c>
      <c r="C48" s="46" t="inlineStr">
        <is>
          <t>영역 안에서만 증가합니다. 다른 영역에 케이스가 추가돼도 기존 ID가 흔들리지 않습니다</t>
        </is>
      </c>
    </row>
    <row r="49">
      <c r="B49" s="46" t="inlineStr">
        <is>
          <t>영역코드</t>
        </is>
      </c>
      <c r="C49" s="46" t="inlineStr">
        <is>
          <t>기능 트리 1-Depth당 하나. 프로젝트별 매핑표는 아래 §5-1이며, 정의가 없는 프로젝트에서는 그 절이 나오지 않습니다</t>
        </is>
      </c>
    </row>
    <row r="50">
      <c r="B50" s="46" t="inlineStr">
        <is>
          <t>기재 위치</t>
        </is>
      </c>
      <c r="C50" s="46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2">
      <c r="B52" s="31" t="inlineStr">
        <is>
          <t>5-1. 영역코드 매핑</t>
        </is>
      </c>
    </row>
    <row r="53">
      <c r="B53" s="50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4">
      <c r="B54" s="47" t="inlineStr">
        <is>
          <t>영역 (기능 트리 1-Depth)</t>
        </is>
      </c>
      <c r="C54" s="47" t="inlineStr">
        <is>
          <t>코드</t>
        </is>
      </c>
      <c r="D54" s="47" t="inlineStr">
        <is>
          <t>영문 표기</t>
        </is>
      </c>
      <c r="E54" s="47" t="inlineStr">
        <is>
          <t>TC ID 예</t>
        </is>
      </c>
    </row>
    <row r="55">
      <c r="B55" s="46" t="inlineStr">
        <is>
          <t>앱 진입/세션</t>
        </is>
      </c>
      <c r="C55" s="46" t="inlineStr">
        <is>
          <t>ENT</t>
        </is>
      </c>
      <c r="D55" s="46" t="inlineStr">
        <is>
          <t>Entry &amp; Session</t>
        </is>
      </c>
      <c r="E55" s="46" t="inlineStr">
        <is>
          <t>TC-ENT-001</t>
        </is>
      </c>
    </row>
    <row r="56">
      <c r="B56" s="46" t="inlineStr">
        <is>
          <t>계정/게이팅</t>
        </is>
      </c>
      <c r="C56" s="46" t="inlineStr">
        <is>
          <t>GAT</t>
        </is>
      </c>
      <c r="D56" s="46" t="inlineStr">
        <is>
          <t>Gating (account &amp; age)</t>
        </is>
      </c>
      <c r="E56" s="46" t="inlineStr">
        <is>
          <t>TC-GAT-001</t>
        </is>
      </c>
    </row>
    <row r="57">
      <c r="B57" s="46" t="inlineStr">
        <is>
          <t>탐색/발견</t>
        </is>
      </c>
      <c r="C57" s="46" t="inlineStr">
        <is>
          <t>DSC</t>
        </is>
      </c>
      <c r="D57" s="46" t="inlineStr">
        <is>
          <t>Discovery</t>
        </is>
      </c>
      <c r="E57" s="46" t="inlineStr">
        <is>
          <t>TC-DSC-001</t>
        </is>
      </c>
    </row>
    <row r="58">
      <c r="B58" s="46" t="inlineStr">
        <is>
          <t>유저 페르소나</t>
        </is>
      </c>
      <c r="C58" s="46" t="inlineStr">
        <is>
          <t>PRF</t>
        </is>
      </c>
      <c r="D58" s="46" t="inlineStr">
        <is>
          <t>Profile (dialogue persona)</t>
        </is>
      </c>
      <c r="E58" s="46" t="inlineStr">
        <is>
          <t>TC-PRF-001</t>
        </is>
      </c>
    </row>
    <row r="59">
      <c r="B59" s="46" t="inlineStr">
        <is>
          <t>재화</t>
        </is>
      </c>
      <c r="C59" s="46" t="inlineStr">
        <is>
          <t>CUR</t>
        </is>
      </c>
      <c r="D59" s="46" t="inlineStr">
        <is>
          <t>Currency</t>
        </is>
      </c>
      <c r="E59" s="46" t="inlineStr">
        <is>
          <t>TC-CUR-001</t>
        </is>
      </c>
    </row>
    <row r="60">
      <c r="B60" s="46" t="inlineStr">
        <is>
          <t>서사 시스템</t>
        </is>
      </c>
      <c r="C60" s="46" t="inlineStr">
        <is>
          <t>NAR</t>
        </is>
      </c>
      <c r="D60" s="46" t="inlineStr">
        <is>
          <t>Narrative</t>
        </is>
      </c>
      <c r="E60" s="46" t="inlineStr">
        <is>
          <t>TC-NAR-001</t>
        </is>
      </c>
    </row>
    <row r="61">
      <c r="B61" s="46" t="inlineStr">
        <is>
          <t>대화 세션</t>
        </is>
      </c>
      <c r="C61" s="46" t="inlineStr">
        <is>
          <t>CHT</t>
        </is>
      </c>
      <c r="D61" s="46" t="inlineStr">
        <is>
          <t>Chat session</t>
        </is>
      </c>
      <c r="E61" s="46" t="inlineStr">
        <is>
          <t>TC-CHT-001</t>
        </is>
      </c>
    </row>
    <row r="62">
      <c r="B62" s="46" t="inlineStr">
        <is>
          <t>세이브/로드</t>
        </is>
      </c>
      <c r="C62" s="46" t="inlineStr">
        <is>
          <t>SAV</t>
        </is>
      </c>
      <c r="D62" s="46" t="inlineStr">
        <is>
          <t>Save &amp; Load</t>
        </is>
      </c>
      <c r="E62" s="46" t="inlineStr">
        <is>
          <t>TC-SAV-001</t>
        </is>
      </c>
    </row>
    <row r="63">
      <c r="B63" s="46" t="inlineStr">
        <is>
          <t>메모리/컨텍스트</t>
        </is>
      </c>
      <c r="C63" s="46" t="inlineStr">
        <is>
          <t>MEM</t>
        </is>
      </c>
      <c r="D63" s="46" t="inlineStr">
        <is>
          <t>Memory &amp; Context</t>
        </is>
      </c>
      <c r="E63" s="46" t="inlineStr">
        <is>
          <t>TC-MEM-001</t>
        </is>
      </c>
    </row>
    <row r="64">
      <c r="B64" s="46" t="inlineStr">
        <is>
          <t>입력/출력 세이프티</t>
        </is>
      </c>
      <c r="C64" s="46" t="inlineStr">
        <is>
          <t>SAF</t>
        </is>
      </c>
      <c r="D64" s="46" t="inlineStr">
        <is>
          <t>Safety (input &amp; output)</t>
        </is>
      </c>
      <c r="E64" s="46" t="inlineStr">
        <is>
          <t>TC-SAF-001</t>
        </is>
      </c>
    </row>
    <row r="66">
      <c r="B66" s="31" t="inlineStr">
        <is>
          <t>6. 플랫폼 열 규칙</t>
        </is>
      </c>
    </row>
    <row r="67">
      <c r="B67" s="47" t="inlineStr">
        <is>
          <t>항목</t>
        </is>
      </c>
      <c r="C67" s="47" t="inlineStr">
        <is>
          <t>규칙</t>
        </is>
      </c>
    </row>
    <row r="68">
      <c r="B68" s="46" t="inlineStr">
        <is>
          <t>기본값</t>
        </is>
      </c>
      <c r="C68" s="46" t="inlineStr">
        <is>
          <t>마스터는 Web / And / iOS 3열</t>
        </is>
      </c>
    </row>
    <row r="69">
      <c r="B69" s="46" t="inlineStr">
        <is>
          <t>프로젝트 조정</t>
        </is>
      </c>
      <c r="C69" s="46" t="inlineStr">
        <is>
          <t>TC 설계 시작 시 대상 플랫폼을 사용자에게 재확인하고, Test Case의 Total Result·Result 하위 열과 Summary의 플랫폼 열을 함께 조정합니다</t>
        </is>
      </c>
    </row>
    <row r="71">
      <c r="B71" s="31" t="inlineStr">
        <is>
          <t>7. 입력 규칙</t>
        </is>
      </c>
    </row>
    <row r="72">
      <c r="B72" s="47" t="inlineStr">
        <is>
          <t>항목</t>
        </is>
      </c>
      <c r="C72" s="47" t="inlineStr">
        <is>
          <t>규칙</t>
        </is>
      </c>
    </row>
    <row r="73">
      <c r="B73" s="46" t="inlineStr">
        <is>
          <t>실행 채움 셀(노랑)</t>
        </is>
      </c>
      <c r="C73" s="46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4">
      <c r="B74" s="46" t="inlineStr">
        <is>
          <t>설계 셀</t>
        </is>
      </c>
      <c r="C74" s="46" t="inlineStr">
        <is>
          <t>Depth·절차·기대결과는 실행 중 수정하지 않습니다</t>
        </is>
      </c>
    </row>
    <row r="75">
      <c r="B75" s="46" t="inlineStr">
        <is>
          <t>틀 고정</t>
        </is>
      </c>
      <c r="C75" s="46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6">
      <c r="B76" s="46" t="inlineStr">
        <is>
          <t>자동 필터</t>
        </is>
      </c>
      <c r="C76" s="46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7">
      <c r="B77" s="46" t="inlineStr">
        <is>
          <t>뎁스 채움 색</t>
        </is>
      </c>
      <c r="C77" s="46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8">
      <c r="B78" s="46" t="inlineStr">
        <is>
          <t>기준 골격 버전</t>
        </is>
      </c>
      <c r="C78" s="46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0">
      <c r="B80" s="31" t="inlineStr">
        <is>
          <t>8. 컬럼 정의 (이슈 관리 시트)</t>
        </is>
      </c>
    </row>
    <row r="81">
      <c r="B81" s="50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2">
      <c r="B82" s="47" t="inlineStr">
        <is>
          <t>컬럼</t>
        </is>
      </c>
      <c r="C82" s="47" t="inlineStr">
        <is>
          <t>내용</t>
        </is>
      </c>
      <c r="D82" s="47" t="inlineStr">
        <is>
          <t>채우는 규칙</t>
        </is>
      </c>
    </row>
    <row r="83">
      <c r="B83" s="46" t="inlineStr">
        <is>
          <t>프로젝트 ID</t>
        </is>
      </c>
      <c r="C83" s="46" t="inlineStr">
        <is>
          <t>프로젝트 식별자</t>
        </is>
      </c>
      <c r="D83" s="46" t="inlineStr">
        <is>
          <t>SUT명 기준. 목록 시트 참조</t>
        </is>
      </c>
    </row>
    <row r="84">
      <c r="B84" s="46" t="inlineStr">
        <is>
          <t>Issue No.</t>
        </is>
      </c>
      <c r="C84" s="46" t="inlineStr">
        <is>
          <t>발생한 이슈의 식별자</t>
        </is>
      </c>
      <c r="D84" s="46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5">
      <c r="B85" s="46" t="inlineStr">
        <is>
          <t>이슈 상태</t>
        </is>
      </c>
      <c r="C85" s="46" t="inlineStr">
        <is>
          <t>이슈의 현재 상태</t>
        </is>
      </c>
      <c r="D85" s="46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6">
      <c r="B86" s="46" t="inlineStr">
        <is>
          <t>요약(Summary)</t>
        </is>
      </c>
      <c r="C86" s="46" t="inlineStr">
        <is>
          <t>이슈 제목</t>
        </is>
      </c>
      <c r="D86" s="46" t="inlineStr">
        <is>
          <t>재현 경로 요약 — 문단 구분은 "&gt;", 마지막은 무엇이 잘못됐는지 수동태로.
ex) rules/ 폴더 이동 &gt; A.md 실행 시, 크래시 발생됨</t>
        </is>
      </c>
    </row>
    <row r="87">
      <c r="B87" s="46" t="inlineStr">
        <is>
          <t>설명</t>
        </is>
      </c>
      <c r="C87" s="46" t="inlineStr">
        <is>
          <t>재현 방법 상세</t>
        </is>
      </c>
      <c r="D87" s="46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8">
      <c r="B88" s="46" t="inlineStr">
        <is>
          <t>우선순위</t>
        </is>
      </c>
      <c r="C88" s="46" t="inlineStr">
        <is>
          <t>이슈 심각도</t>
        </is>
      </c>
      <c r="D88" s="46" t="inlineStr">
        <is>
          <t>High: 크래시·진입 불가 등 치명 / Medium: 진입은 되나 기능 미동작 / Low: 문구·표기 오류</t>
        </is>
      </c>
    </row>
    <row r="89">
      <c r="B89" s="46" t="inlineStr">
        <is>
          <t>빈도</t>
        </is>
      </c>
      <c r="C89" s="46" t="inlineStr">
        <is>
          <t>발생 빈도</t>
        </is>
      </c>
      <c r="D89" s="46" t="inlineStr">
        <is>
          <t>Always: 항상 / Often: 종종(70% 이상) / Sometimes: 가끔(70% 미만) / Once: 1회만</t>
        </is>
      </c>
    </row>
    <row r="90">
      <c r="B90" s="46" t="inlineStr">
        <is>
          <t>영향 받는 버전</t>
        </is>
      </c>
      <c r="C90" s="46" t="inlineStr">
        <is>
          <t>이슈가 재현되는 빌드</t>
        </is>
      </c>
      <c r="D90" s="46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1">
      <c r="B91" s="46" t="inlineStr">
        <is>
          <t>수정 버전</t>
        </is>
      </c>
      <c r="C91" s="46" t="inlineStr">
        <is>
          <t>이슈가 수정된 버전</t>
        </is>
      </c>
      <c r="D91" s="46" t="inlineStr">
        <is>
          <t>영향 받는 버전과 같은 목록을 사용합니다</t>
        </is>
      </c>
    </row>
    <row r="92">
      <c r="B92" s="46" t="inlineStr">
        <is>
          <t>해결책</t>
        </is>
      </c>
      <c r="C92" s="46" t="inlineStr">
        <is>
          <t>수정 방향</t>
        </is>
      </c>
      <c r="D92" s="46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3">
      <c r="B93" s="46" t="inlineStr">
        <is>
          <t>환경</t>
        </is>
      </c>
      <c r="C93" s="46" t="inlineStr">
        <is>
          <t>발생 디바이스</t>
        </is>
      </c>
      <c r="D93" s="46" t="inlineStr">
        <is>
          <t>PC웹 / Android / iOS</t>
        </is>
      </c>
    </row>
    <row r="94">
      <c r="B94" s="46" t="inlineStr">
        <is>
          <t>레이블</t>
        </is>
      </c>
      <c r="C94" s="46" t="inlineStr">
        <is>
          <t>발생 영역</t>
        </is>
      </c>
      <c r="D94" s="46" t="inlineStr">
        <is>
          <t>기능 트리 1-Depth 영역명 — 목록 시트 참조. 트리 개정 시 목록만 갱신하고 기존 행 값은 소급 변경하지 않습니다</t>
        </is>
      </c>
    </row>
    <row r="95">
      <c r="B95" s="46" t="inlineStr">
        <is>
          <t>보고자</t>
        </is>
      </c>
      <c r="C95" s="46" t="inlineStr">
        <is>
          <t>이슈 등록자</t>
        </is>
      </c>
      <c r="D95" s="46" t="inlineStr">
        <is>
          <t>목록 참조</t>
        </is>
      </c>
    </row>
    <row r="96">
      <c r="B96" s="46" t="inlineStr">
        <is>
          <t>담당자</t>
        </is>
      </c>
      <c r="C96" s="46" t="inlineStr">
        <is>
          <t>이슈 수정 담당자</t>
        </is>
      </c>
      <c r="D96" s="46" t="inlineStr">
        <is>
          <t>목록 참조</t>
        </is>
      </c>
    </row>
    <row r="97">
      <c r="B97" s="46" t="inlineStr">
        <is>
          <t>관측자</t>
        </is>
      </c>
      <c r="C97" s="46" t="inlineStr">
        <is>
          <t>함께 팔로우할 인원</t>
        </is>
      </c>
      <c r="D97" s="46" t="inlineStr">
        <is>
          <t>드롭다운 없음 — 쉼표 구분 자유 입력(멀티 선택은 xlsx 표준 기능에 없음)</t>
        </is>
      </c>
    </row>
    <row r="98">
      <c r="B98" s="46" t="inlineStr">
        <is>
          <t>첨부파일</t>
        </is>
      </c>
      <c r="C98" s="46" t="inlineStr">
        <is>
          <t>재현 증적</t>
        </is>
      </c>
      <c r="D98" s="46" t="inlineStr">
        <is>
          <t>재현 영상·이미지의 경로 또는 링크</t>
        </is>
      </c>
    </row>
    <row r="99">
      <c r="B99" s="46" t="inlineStr">
        <is>
          <t>스프린트</t>
        </is>
      </c>
      <c r="C99" s="46" t="inlineStr">
        <is>
          <t>QA 진행 단위</t>
        </is>
      </c>
      <c r="D99" s="46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0">
      <c r="B100" s="46" t="inlineStr">
        <is>
          <t>이슈 등록일</t>
        </is>
      </c>
      <c r="C100" s="46" t="inlineStr">
        <is>
          <t>최초 등록일</t>
        </is>
      </c>
      <c r="D100" s="46" t="inlineStr">
        <is>
          <t>YYYY-MM-DD. 이후 변경하지 않습니다</t>
        </is>
      </c>
    </row>
    <row r="101">
      <c r="B101" s="46" t="inlineStr">
        <is>
          <t>이슈 최종 수정일자</t>
        </is>
      </c>
      <c r="C101" s="46" t="inlineStr">
        <is>
          <t>내용 최종 수정일</t>
        </is>
      </c>
      <c r="D101" s="46" t="inlineStr">
        <is>
          <t>YYYY-MM-DD. 요약·설명 등 내용이 바뀔 때 갱신</t>
        </is>
      </c>
    </row>
    <row r="102">
      <c r="B102" s="46" t="inlineStr">
        <is>
          <t>이슈 상태 최종 변경일자</t>
        </is>
      </c>
      <c r="C102" s="46" t="inlineStr">
        <is>
          <t>상태 최종 변경일</t>
        </is>
      </c>
      <c r="D102" s="46" t="inlineStr">
        <is>
          <t>YYYY-MM-DD. 이슈 상태가 바뀔 때 갱신</t>
        </is>
      </c>
    </row>
    <row r="104">
      <c r="B104" s="31" t="inlineStr">
        <is>
          <t>9. 목록 시트 규칙</t>
        </is>
      </c>
    </row>
    <row r="105">
      <c r="B105" s="47" t="inlineStr">
        <is>
          <t>항목</t>
        </is>
      </c>
      <c r="C105" s="47" t="inlineStr">
        <is>
          <t>규칙</t>
        </is>
      </c>
    </row>
    <row r="106">
      <c r="B106" s="46" t="inlineStr">
        <is>
          <t>지위</t>
        </is>
      </c>
      <c r="C106" s="46" t="inlineStr">
        <is>
          <t>드롭다운 참조의 정본 — 전 시트의 데이터 검증이 이 시트를 참조합니다</t>
        </is>
      </c>
    </row>
    <row r="107">
      <c r="B107" s="46" t="inlineStr">
        <is>
          <t>노출</t>
        </is>
      </c>
      <c r="C107" s="46" t="inlineStr">
        <is>
          <t>숨기지 않고 맨 뒤 배치 — 값 체계 자체가 전시물입니다</t>
        </is>
      </c>
    </row>
    <row r="108">
      <c r="B108" s="46" t="inlineStr">
        <is>
          <t>갱신</t>
        </is>
      </c>
      <c r="C108" s="46" t="inlineStr">
        <is>
          <t>항목 추가는 행 추가로. 명칭 변경은 목록만 교체하고 기존 데이터 행은 소급 변경하지 않습니다(검증은 신규 입력에만 작동)</t>
        </is>
      </c>
    </row>
    <row r="109">
      <c r="B109" s="46" t="inlineStr">
        <is>
          <t>레이블 동기</t>
        </is>
      </c>
      <c r="C109" s="46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2026-08-03T14:13:22Z</dcterms:created>
  <dcterms:modified xsi:type="dcterms:W3CDTF">2026-08-03T14:13:22Z</dcterms:modified>
</cp:coreProperties>
</file>