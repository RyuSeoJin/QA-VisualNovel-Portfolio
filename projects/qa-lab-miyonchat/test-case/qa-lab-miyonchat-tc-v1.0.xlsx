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Case" sheetId="1" state="visible" r:id="rId1"/>
    <sheet name="Summary" sheetId="2" state="visible" r:id="rId2"/>
    <sheet name="이슈 관리 시트" sheetId="3" state="visible" r:id="rId3"/>
    <sheet name="목록" sheetId="4" state="visible" r:id="rId4"/>
    <sheet name="명세서" sheetId="5" state="visible" r:id="rId5"/>
  </sheets>
  <definedNames>
    <definedName name="list_project">목록!$B$3:$B$3</definedName>
    <definedName name="list_exec">목록!$C$3:$C$5</definedName>
    <definedName name="list_state">목록!$D$3:$D$7</definedName>
    <definedName name="list_status">목록!$E$3:$E$7</definedName>
    <definedName name="list_priority">목록!$F$3:$F$5</definedName>
    <definedName name="list_frequency">목록!$G$3:$G$6</definedName>
    <definedName name="list_version">목록!$H$3:$H$6</definedName>
    <definedName name="list_resolution">목록!$I$3:$I$10</definedName>
    <definedName name="list_env">목록!$J$3:$J$3</definedName>
    <definedName name="list_label">목록!$K$3:$K$12</definedName>
    <definedName name="list_reporter">목록!$L$3:$L$3</definedName>
    <definedName name="list_assignee">목록!$M$3:$M$3</definedName>
    <definedName name="list_sprint">목록!$N$3:$N$4</definedName>
    <definedName name="_xlnm._FilterDatabase" localSheetId="0" hidden="1">'Test Case'!$B$4:$S$59</definedName>
    <definedName name="_xlnm._FilterDatabase" localSheetId="2" hidden="1">'이슈 관리 시트'!$B$2:$U$3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맑은 고딕"/>
      <b val="1"/>
      <color rgb="00F3F3F3"/>
      <sz val="11"/>
    </font>
    <font>
      <name val="맑은 고딕"/>
      <b val="1"/>
      <color rgb="00F3F3F3"/>
      <sz val="9"/>
    </font>
    <font>
      <name val="맑은 고딕"/>
      <b val="1"/>
      <color rgb="00000000"/>
      <sz val="9"/>
    </font>
    <font>
      <name val="맑은 고딕"/>
      <color rgb="00333333"/>
      <sz val="8"/>
    </font>
    <font>
      <name val="맑은 고딕"/>
      <color rgb="00000000"/>
      <sz val="9"/>
    </font>
    <font>
      <name val="맑은 고딕"/>
      <b val="1"/>
      <color rgb="00000000"/>
      <sz val="12"/>
    </font>
    <font>
      <name val="맑은 고딕"/>
      <color rgb="00555555"/>
      <sz val="8"/>
    </font>
    <font>
      <name val="맑은 고딕"/>
      <color rgb="00000000"/>
      <sz val="11"/>
    </font>
    <font>
      <name val="맑은 고딕"/>
      <b val="1"/>
      <color rgb="00000000"/>
      <sz val="13"/>
    </font>
    <font>
      <name val="맑은 고딕"/>
      <color rgb="00555555"/>
      <sz val="10"/>
    </font>
  </fonts>
  <fills count="42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BFBFBF"/>
      </patternFill>
    </fill>
    <fill>
      <patternFill patternType="solid">
        <fgColor rgb="00F9D7BE"/>
      </patternFill>
    </fill>
    <fill>
      <patternFill patternType="solid">
        <fgColor rgb="00FFF9C4"/>
      </patternFill>
    </fill>
    <fill>
      <patternFill patternType="solid">
        <fgColor rgb="00FFFFFF"/>
      </patternFill>
    </fill>
    <fill>
      <patternFill patternType="solid">
        <fgColor rgb="00DBD0EC"/>
      </patternFill>
    </fill>
    <fill>
      <patternFill patternType="solid">
        <fgColor rgb="00E2ECD0"/>
      </patternFill>
    </fill>
    <fill>
      <patternFill patternType="solid">
        <fgColor rgb="00ECD0DC"/>
      </patternFill>
    </fill>
    <fill>
      <patternFill patternType="solid">
        <fgColor rgb="00D0ECE8"/>
      </patternFill>
    </fill>
    <fill>
      <patternFill patternType="solid">
        <fgColor rgb="00ECD0D2"/>
      </patternFill>
    </fill>
    <fill>
      <patternFill patternType="solid">
        <fgColor rgb="00D0DDEC"/>
      </patternFill>
    </fill>
    <fill>
      <patternFill patternType="solid">
        <fgColor rgb="00D0EBEC"/>
      </patternFill>
    </fill>
    <fill>
      <patternFill patternType="solid">
        <fgColor rgb="00ECD7D0"/>
      </patternFill>
    </fill>
    <fill>
      <patternFill patternType="solid">
        <fgColor rgb="00E0D0EC"/>
      </patternFill>
    </fill>
    <fill>
      <patternFill patternType="solid">
        <fgColor rgb="00ECE0D0"/>
      </patternFill>
    </fill>
    <fill>
      <patternFill patternType="solid">
        <fgColor rgb="00E4D0EC"/>
      </patternFill>
    </fill>
    <fill>
      <patternFill patternType="solid">
        <fgColor rgb="00E7ECD0"/>
      </patternFill>
    </fill>
    <fill>
      <patternFill patternType="solid">
        <fgColor rgb="00ECD0EA"/>
      </patternFill>
    </fill>
    <fill>
      <patternFill patternType="solid">
        <fgColor rgb="00DDECD0"/>
      </patternFill>
    </fill>
    <fill>
      <patternFill patternType="solid">
        <fgColor rgb="00D9ECD0"/>
      </patternFill>
    </fill>
    <fill>
      <patternFill patternType="solid">
        <fgColor rgb="00ECD0D7"/>
      </patternFill>
    </fill>
    <fill>
      <patternFill patternType="solid">
        <fgColor rgb="00D0E6EC"/>
      </patternFill>
    </fill>
    <fill>
      <patternFill patternType="solid">
        <fgColor rgb="00D4ECD0"/>
      </patternFill>
    </fill>
    <fill>
      <patternFill patternType="solid">
        <fgColor rgb="00D0E1EC"/>
      </patternFill>
    </fill>
    <fill>
      <patternFill patternType="solid">
        <fgColor rgb="00D0ECD1"/>
      </patternFill>
    </fill>
    <fill>
      <patternFill patternType="solid">
        <fgColor rgb="00D1D0EC"/>
      </patternFill>
    </fill>
    <fill>
      <patternFill patternType="solid">
        <fgColor rgb="00D0ECD5"/>
      </patternFill>
    </fill>
    <fill>
      <patternFill patternType="solid">
        <fgColor rgb="00D6D0EC"/>
      </patternFill>
    </fill>
    <fill>
      <patternFill patternType="solid">
        <fgColor rgb="00D0ECDA"/>
      </patternFill>
    </fill>
    <fill>
      <patternFill patternType="solid">
        <fgColor rgb="00D0D8EC"/>
      </patternFill>
    </fill>
    <fill>
      <patternFill patternType="solid">
        <fgColor rgb="00ECD2D0"/>
      </patternFill>
    </fill>
    <fill>
      <patternFill patternType="solid">
        <fgColor rgb="00E9D0EC"/>
      </patternFill>
    </fill>
    <fill>
      <patternFill patternType="solid">
        <fgColor rgb="00ECDCD0"/>
      </patternFill>
    </fill>
    <fill>
      <patternFill patternType="solid">
        <fgColor rgb="00ECD0E5"/>
      </patternFill>
    </fill>
    <fill>
      <patternFill patternType="solid">
        <fgColor rgb="00D0ECDF"/>
      </patternFill>
    </fill>
    <fill>
      <patternFill patternType="solid">
        <fgColor rgb="00ECD0E0"/>
      </patternFill>
    </fill>
    <fill>
      <patternFill patternType="solid">
        <fgColor rgb="00D0D3EC"/>
      </patternFill>
    </fill>
    <fill>
      <patternFill patternType="solid">
        <fgColor rgb="00D0ECE3"/>
      </patternFill>
    </fill>
    <fill>
      <patternFill patternType="solid">
        <fgColor rgb="00EDEFF4"/>
      </patternFill>
    </fill>
    <fill>
      <patternFill patternType="solid">
        <fgColor rgb="0044546A"/>
      </patternFill>
    </fill>
  </fills>
  <borders count="5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/>
      <top/>
      <bottom/>
      <diagonal/>
    </border>
    <border>
      <left style="thin">
        <color rgb="00999999"/>
      </left>
      <right style="thin">
        <color rgb="00999999"/>
      </right>
      <top/>
      <bottom/>
      <diagonal/>
    </border>
    <border>
      <left style="thin">
        <color rgb="00999999"/>
      </left>
      <right style="thin">
        <color rgb="00999999"/>
      </right>
      <top/>
      <bottom style="thin">
        <color rgb="00999999"/>
      </bottom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0" applyAlignment="1" pivotButton="0" quotePrefix="0" xfId="0">
      <alignment horizontal="right" vertical="center"/>
    </xf>
    <xf numFmtId="0" fontId="0" fillId="3" borderId="0" pivotButton="0" quotePrefix="0" xfId="0"/>
    <xf numFmtId="0" fontId="0" fillId="4" borderId="0" pivotButton="0" quotePrefix="0" xfId="0"/>
    <xf numFmtId="0" fontId="3" fillId="5" borderId="1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5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 wrapText="1"/>
    </xf>
    <xf numFmtId="0" fontId="5" fillId="17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 wrapText="1"/>
    </xf>
    <xf numFmtId="0" fontId="3" fillId="21" borderId="1" applyAlignment="1" pivotButton="0" quotePrefix="0" xfId="0">
      <alignment horizontal="left" vertical="center" wrapText="1"/>
    </xf>
    <xf numFmtId="0" fontId="5" fillId="22" borderId="1" applyAlignment="1" pivotButton="0" quotePrefix="0" xfId="0">
      <alignment horizontal="left" vertical="center" wrapText="1"/>
    </xf>
    <xf numFmtId="0" fontId="5" fillId="23" borderId="1" applyAlignment="1" pivotButton="0" quotePrefix="0" xfId="0">
      <alignment horizontal="left" vertical="center" wrapText="1"/>
    </xf>
    <xf numFmtId="0" fontId="5" fillId="24" borderId="1" applyAlignment="1" pivotButton="0" quotePrefix="0" xfId="0">
      <alignment horizontal="left" vertical="center" wrapText="1"/>
    </xf>
    <xf numFmtId="0" fontId="5" fillId="25" borderId="1" applyAlignment="1" pivotButton="0" quotePrefix="0" xfId="0">
      <alignment horizontal="left" vertical="center" wrapText="1"/>
    </xf>
    <xf numFmtId="0" fontId="5" fillId="26" borderId="1" applyAlignment="1" pivotButton="0" quotePrefix="0" xfId="0">
      <alignment horizontal="left" vertical="center" wrapText="1"/>
    </xf>
    <xf numFmtId="0" fontId="5" fillId="27" borderId="1" applyAlignment="1" pivotButton="0" quotePrefix="0" xfId="0">
      <alignment horizontal="left" vertical="center" wrapText="1"/>
    </xf>
    <xf numFmtId="0" fontId="5" fillId="28" borderId="1" applyAlignment="1" pivotButton="0" quotePrefix="0" xfId="0">
      <alignment horizontal="left" vertical="center" wrapText="1"/>
    </xf>
    <xf numFmtId="0" fontId="5" fillId="29" borderId="1" applyAlignment="1" pivotButton="0" quotePrefix="0" xfId="0">
      <alignment horizontal="left" vertical="center" wrapText="1"/>
    </xf>
    <xf numFmtId="0" fontId="5" fillId="30" borderId="1" applyAlignment="1" pivotButton="0" quotePrefix="0" xfId="0">
      <alignment horizontal="left" vertical="center" wrapText="1"/>
    </xf>
    <xf numFmtId="0" fontId="5" fillId="31" borderId="1" applyAlignment="1" pivotButton="0" quotePrefix="0" xfId="0">
      <alignment horizontal="left" vertical="center" wrapText="1"/>
    </xf>
    <xf numFmtId="0" fontId="5" fillId="32" borderId="1" applyAlignment="1" pivotButton="0" quotePrefix="0" xfId="0">
      <alignment horizontal="left" vertical="center" wrapText="1"/>
    </xf>
    <xf numFmtId="0" fontId="5" fillId="33" borderId="1" applyAlignment="1" pivotButton="0" quotePrefix="0" xfId="0">
      <alignment horizontal="left" vertical="center" wrapText="1"/>
    </xf>
    <xf numFmtId="0" fontId="5" fillId="34" borderId="1" applyAlignment="1" pivotButton="0" quotePrefix="0" xfId="0">
      <alignment horizontal="left" vertical="center" wrapText="1"/>
    </xf>
    <xf numFmtId="0" fontId="5" fillId="35" borderId="1" applyAlignment="1" pivotButton="0" quotePrefix="0" xfId="0">
      <alignment horizontal="left" vertical="center" wrapText="1"/>
    </xf>
    <xf numFmtId="0" fontId="5" fillId="36" borderId="1" applyAlignment="1" pivotButton="0" quotePrefix="0" xfId="0">
      <alignment horizontal="left" vertical="center" wrapText="1"/>
    </xf>
    <xf numFmtId="0" fontId="5" fillId="37" borderId="1" applyAlignment="1" pivotButton="0" quotePrefix="0" xfId="0">
      <alignment horizontal="left" vertical="center" wrapText="1"/>
    </xf>
    <xf numFmtId="0" fontId="5" fillId="38" borderId="1" applyAlignment="1" pivotButton="0" quotePrefix="0" xfId="0">
      <alignment horizontal="left" vertical="center" wrapText="1"/>
    </xf>
    <xf numFmtId="0" fontId="5" fillId="39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0" borderId="1" pivotButton="0" quotePrefix="0" xfId="0"/>
    <xf numFmtId="0" fontId="5" fillId="6" borderId="1" pivotButton="0" quotePrefix="0" xfId="0"/>
    <xf numFmtId="0" fontId="0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2" fillId="41" borderId="1" applyAlignment="1" pivotButton="0" quotePrefix="0" xfId="0">
      <alignment horizontal="center" vertical="center"/>
    </xf>
    <xf numFmtId="0" fontId="3" fillId="6" borderId="1" pivotButton="0" quotePrefix="0" xfId="0"/>
    <xf numFmtId="0" fontId="5" fillId="6" borderId="1" applyAlignment="1" pivotButton="0" quotePrefix="0" xfId="0">
      <alignment horizontal="center"/>
    </xf>
    <xf numFmtId="164" fontId="5" fillId="6" borderId="1" applyAlignment="1" pivotButton="0" quotePrefix="0" xfId="0">
      <alignment horizontal="center"/>
    </xf>
    <xf numFmtId="0" fontId="2" fillId="41" borderId="1" pivotButton="0" quotePrefix="0" xfId="0"/>
    <xf numFmtId="0" fontId="2" fillId="41" borderId="1" applyAlignment="1" pivotButton="0" quotePrefix="0" xfId="0">
      <alignment horizontal="center"/>
    </xf>
    <xf numFmtId="164" fontId="2" fillId="4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vertical="top"/>
    </xf>
    <xf numFmtId="0" fontId="8" fillId="6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/>
    </xf>
    <xf numFmtId="0" fontId="8" fillId="6" borderId="1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dxfs count="11">
    <dxf>
      <font>
        <name val="맑은 고딕"/>
        <b val="1"/>
        <color rgb="00047857"/>
        <sz val="9"/>
      </font>
      <fill>
        <patternFill patternType="solid">
          <fgColor rgb="00D1FAE5"/>
        </patternFill>
      </fill>
    </dxf>
    <dxf>
      <font>
        <name val="맑은 고딕"/>
        <b val="1"/>
        <color rgb="00B91C1C"/>
        <sz val="9"/>
      </font>
      <fill>
        <patternFill patternType="solid">
          <fgColor rgb="00FEE2E2"/>
        </patternFill>
      </fill>
    </dxf>
    <dxf>
      <font>
        <name val="맑은 고딕"/>
        <b val="1"/>
        <color rgb="004B5563"/>
        <sz val="9"/>
      </font>
      <fill>
        <patternFill patternType="solid">
          <fgColor rgb="00E5E7EB"/>
        </patternFill>
      </fill>
    </dxf>
    <dxf>
      <font>
        <name val="맑은 고딕"/>
        <b val="1"/>
        <color rgb="006D28D9"/>
        <sz val="9"/>
      </font>
      <fill>
        <patternFill patternType="solid">
          <fgColor rgb="00EDE9FE"/>
        </patternFill>
      </fill>
    </dxf>
    <dxf>
      <font>
        <name val="맑은 고딕"/>
        <b val="1"/>
        <color rgb="00B45309"/>
        <sz val="9"/>
      </font>
      <fill>
        <patternFill patternType="solid">
          <fgColor rgb="00FEF3C7"/>
        </patternFill>
      </fill>
    </dxf>
    <dxf>
      <font>
        <name val="맑은 고딕"/>
        <b val="1"/>
        <color rgb="00000000"/>
        <sz val="11"/>
      </font>
      <fill>
        <patternFill patternType="solid">
          <fgColor rgb="00FFFFFF"/>
        </patternFill>
      </fill>
    </dxf>
    <dxf>
      <font>
        <name val="맑은 고딕"/>
        <b val="1"/>
        <color rgb="001D4ED8"/>
        <sz val="11"/>
      </font>
      <fill>
        <patternFill patternType="solid">
          <fgColor rgb="00DBEAFE"/>
        </patternFill>
      </fill>
    </dxf>
    <dxf>
      <font>
        <name val="맑은 고딕"/>
        <b val="1"/>
        <color rgb="00047857"/>
        <sz val="11"/>
      </font>
      <fill>
        <patternFill patternType="solid">
          <fgColor rgb="00D1FAE5"/>
        </patternFill>
      </fill>
    </dxf>
    <dxf>
      <font>
        <name val="맑은 고딕"/>
        <b val="1"/>
        <color rgb="004B5563"/>
        <sz val="11"/>
      </font>
      <fill>
        <patternFill patternType="solid">
          <fgColor rgb="00E5E7EB"/>
        </patternFill>
      </fill>
    </dxf>
    <dxf>
      <font>
        <name val="맑은 고딕"/>
        <b val="1"/>
        <color rgb="00B91C1C"/>
        <sz val="11"/>
      </font>
      <fill>
        <patternFill patternType="solid">
          <fgColor rgb="00FEE2E2"/>
        </patternFill>
      </fill>
    </dxf>
    <dxf>
      <font>
        <name val="맑은 고딕"/>
        <b val="1"/>
        <color rgb="00B45309"/>
        <sz val="11"/>
      </font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S5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" customWidth="1" min="1" max="1"/>
    <col width="6" customWidth="1" min="2" max="2"/>
    <col width="15" customWidth="1" min="3" max="3"/>
    <col width="14" customWidth="1" min="4" max="4"/>
    <col width="15" customWidth="1" min="5" max="5"/>
    <col width="26" customWidth="1" min="6" max="6"/>
    <col width="5" customWidth="1" min="7" max="7"/>
    <col width="34" customWidth="1" min="8" max="8"/>
    <col width="46" customWidth="1" min="9" max="9"/>
    <col width="11" customWidth="1" min="10" max="10"/>
    <col width="9" customWidth="1" min="11" max="11"/>
    <col width="7" customWidth="1" min="12" max="12"/>
    <col width="7" customWidth="1" min="13" max="13"/>
    <col width="11" customWidth="1" min="14" max="14"/>
    <col width="34" customWidth="1" min="15" max="15"/>
    <col width="30" customWidth="1" min="16" max="16"/>
    <col width="13" customWidth="1" min="17" max="17"/>
    <col width="9" customWidth="1" min="18" max="18"/>
    <col width="14" customWidth="1" min="19" max="19"/>
  </cols>
  <sheetData>
    <row r="2" ht="22" customHeight="1">
      <c r="B2" s="1" t="inlineStr">
        <is>
          <t>qa-lab-miyonchat-tree-v1.12</t>
        </is>
      </c>
      <c r="F2" s="1" t="inlineStr">
        <is>
          <t>miyonchat TC</t>
        </is>
      </c>
    </row>
    <row r="3" ht="18" customHeight="1">
      <c r="B3" s="2" t="inlineStr">
        <is>
          <t>No</t>
        </is>
      </c>
      <c r="C3" s="2" t="inlineStr">
        <is>
          <t>1-Depth</t>
        </is>
      </c>
      <c r="D3" s="2" t="inlineStr">
        <is>
          <t>2-Depth</t>
        </is>
      </c>
      <c r="E3" s="2" t="inlineStr">
        <is>
          <t>3-Depth</t>
        </is>
      </c>
      <c r="F3" s="2" t="inlineStr">
        <is>
          <t>Pre-Condition</t>
        </is>
      </c>
      <c r="G3" s="2" t="inlineStr">
        <is>
          <t>TN</t>
        </is>
      </c>
      <c r="H3" s="2" t="inlineStr">
        <is>
          <t>Test-Step</t>
        </is>
      </c>
      <c r="I3" s="2" t="inlineStr">
        <is>
          <t>Expected-Result</t>
        </is>
      </c>
      <c r="J3" s="2" t="inlineStr">
        <is>
          <t>실행 주체</t>
        </is>
      </c>
      <c r="K3" s="2" t="inlineStr">
        <is>
          <t>Priority</t>
        </is>
      </c>
      <c r="L3" s="3" t="inlineStr">
        <is>
          <t>Total Result</t>
        </is>
      </c>
      <c r="M3" s="3" t="inlineStr">
        <is>
          <t>Result</t>
        </is>
      </c>
      <c r="N3" s="2" t="inlineStr">
        <is>
          <t>Issue No.</t>
        </is>
      </c>
      <c r="O3" s="2" t="inlineStr">
        <is>
          <t>Comment</t>
        </is>
      </c>
      <c r="P3" s="2" t="inlineStr">
        <is>
          <t>Note</t>
        </is>
      </c>
      <c r="Q3" s="2" t="inlineStr">
        <is>
          <t>TC ID</t>
        </is>
      </c>
      <c r="R3" s="2" t="inlineStr">
        <is>
          <t>검증유형</t>
        </is>
      </c>
      <c r="S3" s="2" t="inlineStr">
        <is>
          <t>상태</t>
        </is>
      </c>
    </row>
    <row r="4" ht="16" customHeight="1"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3" t="inlineStr">
        <is>
          <t>Web</t>
        </is>
      </c>
      <c r="M4" s="3" t="inlineStr">
        <is>
          <t>Web</t>
        </is>
      </c>
      <c r="N4" s="4" t="n"/>
      <c r="O4" s="4" t="n"/>
      <c r="P4" s="4" t="n"/>
      <c r="Q4" s="4" t="n"/>
      <c r="R4" s="4" t="n"/>
      <c r="S4" s="4" t="n"/>
    </row>
    <row r="5">
      <c r="B5" s="5" t="inlineStr">
        <is>
          <t>OS</t>
        </is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7" t="n"/>
      <c r="M5" s="8" t="inlineStr"/>
      <c r="N5" s="9" t="inlineStr">
        <is>
          <t>※ 노란색 셀은 실행 단계에서 채워집니다 — 환경 정보 / Result / Issue No. / Comment
※ 수행 전 참고사항은 전부 Note에 있습니다 — 설계 데이터는 노란 칸에 두지 않습니다</t>
        </is>
      </c>
    </row>
    <row r="6">
      <c r="B6" s="5" t="inlineStr">
        <is>
          <t>단말</t>
        </is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7" t="n"/>
      <c r="M6" s="8" t="inlineStr">
        <is>
          <t>Chrome</t>
        </is>
      </c>
    </row>
    <row r="7">
      <c r="B7" s="5" t="inlineStr">
        <is>
          <t>버전</t>
        </is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7" t="n"/>
      <c r="M7" s="8" t="inlineStr"/>
    </row>
    <row r="8">
      <c r="B8" s="5" t="inlineStr">
        <is>
          <t>작업자 이름</t>
        </is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7" t="n"/>
      <c r="M8" s="8" t="inlineStr"/>
    </row>
    <row r="9">
      <c r="B9" s="5" t="inlineStr">
        <is>
          <t>작업 시작일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7" t="n"/>
      <c r="M9" s="8" t="inlineStr"/>
    </row>
    <row r="10" ht="30" customHeight="1">
      <c r="B10" s="10">
        <f>ROW()-9</f>
        <v/>
      </c>
      <c r="C10" s="11" t="inlineStr">
        <is>
          <t>웹 진입</t>
        </is>
      </c>
      <c r="D10" s="12" t="inlineStr">
        <is>
          <t>진입 분기</t>
        </is>
      </c>
      <c r="E10" s="13" t="inlineStr">
        <is>
          <t>미로그인 첫 진입</t>
        </is>
      </c>
      <c r="F10" s="14" t="inlineStr">
        <is>
          <t>미로그인 상태</t>
        </is>
      </c>
      <c r="G10" s="15" t="n">
        <v>1</v>
      </c>
      <c r="H10" s="14" t="inlineStr">
        <is>
          <t>SUT 주소 진입한다</t>
        </is>
      </c>
      <c r="I10" s="14" t="inlineStr">
        <is>
          <t>로그인 화면 없이 홈 화면 노출된다</t>
        </is>
      </c>
      <c r="J10" s="10" t="inlineStr">
        <is>
          <t>공통</t>
        </is>
      </c>
      <c r="K10" s="10" t="inlineStr">
        <is>
          <t>High</t>
        </is>
      </c>
      <c r="L10" s="16">
        <f>IF(COUNTIF(M10:M10,"Fail")&gt;0,"Fail",IF(COUNTIF(M10:M10,"Blocked")&gt;0,"Blocked",IF(COUNTIF(M10:M10,"NI")&gt;0,"NI",IF(COUNTIF(M10:M10,"Pass")&gt;0,"Pass",""))))</f>
        <v/>
      </c>
      <c r="M10" s="17" t="n"/>
      <c r="N10" s="18" t="n"/>
      <c r="O10" s="18" t="n"/>
      <c r="P10" s="14" t="inlineStr">
        <is>
          <t>상태는 디버그 콘솔 상태 스위처 「미로그인」으로 만들고 [저장]합니다. 미로그인 열람 범위의 정본은 system-spec §1-1입니다</t>
        </is>
      </c>
      <c r="Q10" s="10" t="inlineStr">
        <is>
          <t>TC-ENT-001</t>
        </is>
      </c>
      <c r="R10" s="10" t="inlineStr">
        <is>
          <t>결정적</t>
        </is>
      </c>
      <c r="S10" s="10" t="inlineStr">
        <is>
          <t>미로그인</t>
        </is>
      </c>
    </row>
    <row r="11" ht="30" customHeight="1">
      <c r="B11" s="10">
        <f>ROW()-9</f>
        <v/>
      </c>
      <c r="C11" s="11" t="inlineStr">
        <is>
          <t>웹 진입</t>
        </is>
      </c>
      <c r="D11" s="12" t="inlineStr">
        <is>
          <t>진입 분기</t>
        </is>
      </c>
      <c r="E11" s="13" t="inlineStr">
        <is>
          <t>미로그인 첫 진입</t>
        </is>
      </c>
      <c r="F11" s="14" t="inlineStr"/>
      <c r="G11" s="15" t="n">
        <v>2</v>
      </c>
      <c r="H11" s="14" t="inlineStr">
        <is>
          <t>상단 바 확인한다</t>
        </is>
      </c>
      <c r="I11" s="14" t="inlineStr">
        <is>
          <t>재화 잔액 노출되지 않는다</t>
        </is>
      </c>
      <c r="J11" s="10" t="inlineStr">
        <is>
          <t>공통</t>
        </is>
      </c>
      <c r="K11" s="10" t="inlineStr">
        <is>
          <t>High</t>
        </is>
      </c>
      <c r="L11" s="16">
        <f>IF(COUNTIF(M11:M11,"Fail")&gt;0,"Fail",IF(COUNTIF(M11:M11,"Blocked")&gt;0,"Blocked",IF(COUNTIF(M11:M11,"NI")&gt;0,"NI",IF(COUNTIF(M11:M11,"Pass")&gt;0,"Pass",""))))</f>
        <v/>
      </c>
      <c r="M11" s="17" t="n"/>
      <c r="N11" s="18" t="n"/>
      <c r="O11" s="18" t="n"/>
      <c r="P11" s="14" t="n"/>
      <c r="Q11" s="10" t="inlineStr">
        <is>
          <t>TC-ENT-001</t>
        </is>
      </c>
      <c r="R11" s="10" t="inlineStr">
        <is>
          <t>결정적</t>
        </is>
      </c>
      <c r="S11" s="10" t="inlineStr">
        <is>
          <t>미로그인</t>
        </is>
      </c>
    </row>
    <row r="12" ht="30" customHeight="1">
      <c r="B12" s="10">
        <f>ROW()-9</f>
        <v/>
      </c>
      <c r="C12" s="11" t="inlineStr">
        <is>
          <t>웹 진입</t>
        </is>
      </c>
      <c r="D12" s="12" t="inlineStr">
        <is>
          <t>진입 분기</t>
        </is>
      </c>
      <c r="E12" s="13" t="inlineStr">
        <is>
          <t>미로그인 첫 진입</t>
        </is>
      </c>
      <c r="F12" s="14" t="n"/>
      <c r="G12" s="19" t="n"/>
      <c r="H12" s="19" t="n"/>
      <c r="I12" s="14" t="inlineStr">
        <is>
          <t>간편 프로필 자리에 로그인 버튼 노출된다</t>
        </is>
      </c>
      <c r="J12" s="10" t="inlineStr">
        <is>
          <t>공통</t>
        </is>
      </c>
      <c r="K12" s="10" t="inlineStr">
        <is>
          <t>High</t>
        </is>
      </c>
      <c r="L12" s="16">
        <f>IF(COUNTIF(M12:M12,"Fail")&gt;0,"Fail",IF(COUNTIF(M12:M12,"Blocked")&gt;0,"Blocked",IF(COUNTIF(M12:M12,"NI")&gt;0,"NI",IF(COUNTIF(M12:M12,"Pass")&gt;0,"Pass",""))))</f>
        <v/>
      </c>
      <c r="M12" s="17" t="n"/>
      <c r="N12" s="18" t="n"/>
      <c r="O12" s="18" t="n"/>
      <c r="P12" s="19" t="n"/>
      <c r="Q12" s="10" t="inlineStr">
        <is>
          <t>TC-ENT-001</t>
        </is>
      </c>
      <c r="R12" s="10" t="inlineStr">
        <is>
          <t>결정적</t>
        </is>
      </c>
      <c r="S12" s="10" t="inlineStr">
        <is>
          <t>미로그인</t>
        </is>
      </c>
    </row>
    <row r="13" ht="30" customHeight="1">
      <c r="B13" s="10">
        <f>ROW()-9</f>
        <v/>
      </c>
      <c r="C13" s="11" t="inlineStr">
        <is>
          <t>웹 진입</t>
        </is>
      </c>
      <c r="D13" s="12" t="inlineStr">
        <is>
          <t>진입 분기</t>
        </is>
      </c>
      <c r="E13" s="20" t="inlineStr">
        <is>
          <t>세션 유지 재진입</t>
        </is>
      </c>
      <c r="F13" s="14" t="inlineStr">
        <is>
          <t>계정 A(성인 인증)로 로그인한 상태</t>
        </is>
      </c>
      <c r="G13" s="15" t="n">
        <v>1</v>
      </c>
      <c r="H13" s="14" t="inlineStr">
        <is>
          <t>SUT 주소 재진입한다</t>
        </is>
      </c>
      <c r="I13" s="14" t="inlineStr">
        <is>
          <t>로그인 화면 없이 홈 화면 노출된다</t>
        </is>
      </c>
      <c r="J13" s="10" t="inlineStr">
        <is>
          <t>공통</t>
        </is>
      </c>
      <c r="K13" s="10" t="inlineStr">
        <is>
          <t>Medium</t>
        </is>
      </c>
      <c r="L13" s="16">
        <f>IF(COUNTIF(M13:M13,"Fail")&gt;0,"Fail",IF(COUNTIF(M13:M13,"Blocked")&gt;0,"Blocked",IF(COUNTIF(M13:M13,"NI")&gt;0,"NI",IF(COUNTIF(M13:M13,"Pass")&gt;0,"Pass",""))))</f>
        <v/>
      </c>
      <c r="M13" s="17" t="n"/>
      <c r="N13" s="18" t="n"/>
      <c r="O13" s="18" t="n"/>
      <c r="P13" s="14" t="inlineStr">
        <is>
          <t>상태 스위처 「로그인 (성인 인증)」으로 만듭니다. 명세는 로그인 화면을 한 프레임도 노출하지 않는다고 정합니다 — 사람 수행 시에는 화면 전환의 깜빡임만 확인합니다</t>
        </is>
      </c>
      <c r="Q13" s="10" t="inlineStr">
        <is>
          <t>TC-ENT-002</t>
        </is>
      </c>
      <c r="R13" s="10" t="inlineStr">
        <is>
          <t>결정적</t>
        </is>
      </c>
      <c r="S13" s="10" t="inlineStr">
        <is>
          <t>성인 인증</t>
        </is>
      </c>
    </row>
    <row r="14" ht="30" customHeight="1">
      <c r="B14" s="10">
        <f>ROW()-9</f>
        <v/>
      </c>
      <c r="C14" s="11" t="inlineStr">
        <is>
          <t>웹 진입</t>
        </is>
      </c>
      <c r="D14" s="12" t="inlineStr">
        <is>
          <t>진입 분기</t>
        </is>
      </c>
      <c r="E14" s="20" t="inlineStr">
        <is>
          <t>세션 유지 재진입</t>
        </is>
      </c>
      <c r="F14" s="14" t="inlineStr"/>
      <c r="G14" s="15" t="n">
        <v>2</v>
      </c>
      <c r="H14" s="14" t="inlineStr">
        <is>
          <t>상단 바 확인한다</t>
        </is>
      </c>
      <c r="I14" s="14" t="inlineStr">
        <is>
          <t>재화 잔액 노출된다</t>
        </is>
      </c>
      <c r="J14" s="10" t="inlineStr">
        <is>
          <t>공통</t>
        </is>
      </c>
      <c r="K14" s="10" t="inlineStr">
        <is>
          <t>Medium</t>
        </is>
      </c>
      <c r="L14" s="16">
        <f>IF(COUNTIF(M14:M14,"Fail")&gt;0,"Fail",IF(COUNTIF(M14:M14,"Blocked")&gt;0,"Blocked",IF(COUNTIF(M14:M14,"NI")&gt;0,"NI",IF(COUNTIF(M14:M14,"Pass")&gt;0,"Pass",""))))</f>
        <v/>
      </c>
      <c r="M14" s="17" t="n"/>
      <c r="N14" s="18" t="n"/>
      <c r="O14" s="18" t="n"/>
      <c r="P14" s="14" t="n"/>
      <c r="Q14" s="10" t="inlineStr">
        <is>
          <t>TC-ENT-002</t>
        </is>
      </c>
      <c r="R14" s="10" t="inlineStr">
        <is>
          <t>결정적</t>
        </is>
      </c>
      <c r="S14" s="10" t="inlineStr">
        <is>
          <t>성인 인증</t>
        </is>
      </c>
    </row>
    <row r="15" ht="30" customHeight="1">
      <c r="B15" s="10">
        <f>ROW()-9</f>
        <v/>
      </c>
      <c r="C15" s="11" t="inlineStr">
        <is>
          <t>웹 진입</t>
        </is>
      </c>
      <c r="D15" s="12" t="inlineStr">
        <is>
          <t>진입 분기</t>
        </is>
      </c>
      <c r="E15" s="20" t="inlineStr">
        <is>
          <t>세션 유지 재진입</t>
        </is>
      </c>
      <c r="F15" s="14" t="n"/>
      <c r="G15" s="19" t="n"/>
      <c r="H15" s="19" t="n"/>
      <c r="I15" s="14" t="inlineStr">
        <is>
          <t>간편 프로필 노출된다</t>
        </is>
      </c>
      <c r="J15" s="10" t="inlineStr">
        <is>
          <t>공통</t>
        </is>
      </c>
      <c r="K15" s="10" t="inlineStr">
        <is>
          <t>Medium</t>
        </is>
      </c>
      <c r="L15" s="16">
        <f>IF(COUNTIF(M15:M15,"Fail")&gt;0,"Fail",IF(COUNTIF(M15:M15,"Blocked")&gt;0,"Blocked",IF(COUNTIF(M15:M15,"NI")&gt;0,"NI",IF(COUNTIF(M15:M15,"Pass")&gt;0,"Pass",""))))</f>
        <v/>
      </c>
      <c r="M15" s="17" t="n"/>
      <c r="N15" s="18" t="n"/>
      <c r="O15" s="18" t="n"/>
      <c r="P15" s="19" t="n"/>
      <c r="Q15" s="10" t="inlineStr">
        <is>
          <t>TC-ENT-002</t>
        </is>
      </c>
      <c r="R15" s="10" t="inlineStr">
        <is>
          <t>결정적</t>
        </is>
      </c>
      <c r="S15" s="10" t="inlineStr">
        <is>
          <t>성인 인증</t>
        </is>
      </c>
    </row>
    <row r="16" ht="30" customHeight="1">
      <c r="B16" s="10">
        <f>ROW()-9</f>
        <v/>
      </c>
      <c r="C16" s="11" t="inlineStr">
        <is>
          <t>웹 진입</t>
        </is>
      </c>
      <c r="D16" s="12" t="inlineStr">
        <is>
          <t>진입 분기</t>
        </is>
      </c>
      <c r="E16" s="21" t="inlineStr">
        <is>
          <t>세션 만료 후 재진입</t>
        </is>
      </c>
      <c r="F16" s="14" t="inlineStr">
        <is>
          <t>계정 A로 로그인한 뒤 세션이 만료된 상태</t>
        </is>
      </c>
      <c r="G16" s="15" t="n">
        <v>1</v>
      </c>
      <c r="H16" s="14" t="inlineStr">
        <is>
          <t>SUT 주소 재진입한다</t>
        </is>
      </c>
      <c r="I16" s="14" t="inlineStr">
        <is>
          <t>홈 화면 노출된다</t>
        </is>
      </c>
      <c r="J16" s="10" t="inlineStr">
        <is>
          <t>공통</t>
        </is>
      </c>
      <c r="K16" s="10" t="inlineStr">
        <is>
          <t>High</t>
        </is>
      </c>
      <c r="L16" s="16">
        <f>IF(COUNTIF(M16:M16,"Fail")&gt;0,"Fail",IF(COUNTIF(M16:M16,"Blocked")&gt;0,"Blocked",IF(COUNTIF(M16:M16,"NI")&gt;0,"NI",IF(COUNTIF(M16:M16,"Pass")&gt;0,"Pass",""))))</f>
        <v/>
      </c>
      <c r="M16" s="17" t="n"/>
      <c r="N16" s="18" t="n"/>
      <c r="O16" s="18" t="n"/>
      <c r="P16" s="14" t="inlineStr">
        <is>
          <t>만료는 상태 스위처 「세션 만료」로 만듭니다. 만료 뒤 로그인 필요 동작이 막히는지는 TC-ENT-004가 잇습니다</t>
        </is>
      </c>
      <c r="Q16" s="10" t="inlineStr">
        <is>
          <t>TC-ENT-003</t>
        </is>
      </c>
      <c r="R16" s="10" t="inlineStr">
        <is>
          <t>결정적</t>
        </is>
      </c>
      <c r="S16" s="10" t="inlineStr">
        <is>
          <t>세션 만료</t>
        </is>
      </c>
    </row>
    <row r="17" ht="30" customHeight="1">
      <c r="B17" s="10">
        <f>ROW()-9</f>
        <v/>
      </c>
      <c r="C17" s="11" t="inlineStr">
        <is>
          <t>웹 진입</t>
        </is>
      </c>
      <c r="D17" s="12" t="inlineStr">
        <is>
          <t>진입 분기</t>
        </is>
      </c>
      <c r="E17" s="21" t="inlineStr">
        <is>
          <t>세션 만료 후 재진입</t>
        </is>
      </c>
      <c r="F17" s="14" t="inlineStr"/>
      <c r="G17" s="15" t="n">
        <v>2</v>
      </c>
      <c r="H17" s="14" t="inlineStr">
        <is>
          <t>상단 바 확인한다</t>
        </is>
      </c>
      <c r="I17" s="14" t="inlineStr">
        <is>
          <t>재화 잔액 노출되지 않는다</t>
        </is>
      </c>
      <c r="J17" s="10" t="inlineStr">
        <is>
          <t>공통</t>
        </is>
      </c>
      <c r="K17" s="10" t="inlineStr">
        <is>
          <t>High</t>
        </is>
      </c>
      <c r="L17" s="16">
        <f>IF(COUNTIF(M17:M17,"Fail")&gt;0,"Fail",IF(COUNTIF(M17:M17,"Blocked")&gt;0,"Blocked",IF(COUNTIF(M17:M17,"NI")&gt;0,"NI",IF(COUNTIF(M17:M17,"Pass")&gt;0,"Pass",""))))</f>
        <v/>
      </c>
      <c r="M17" s="17" t="n"/>
      <c r="N17" s="18" t="n"/>
      <c r="O17" s="18" t="n"/>
      <c r="P17" s="14" t="n"/>
      <c r="Q17" s="10" t="inlineStr">
        <is>
          <t>TC-ENT-003</t>
        </is>
      </c>
      <c r="R17" s="10" t="inlineStr">
        <is>
          <t>결정적</t>
        </is>
      </c>
      <c r="S17" s="10" t="inlineStr">
        <is>
          <t>세션 만료</t>
        </is>
      </c>
    </row>
    <row r="18" ht="30" customHeight="1">
      <c r="B18" s="10">
        <f>ROW()-9</f>
        <v/>
      </c>
      <c r="C18" s="11" t="inlineStr">
        <is>
          <t>웹 진입</t>
        </is>
      </c>
      <c r="D18" s="12" t="inlineStr">
        <is>
          <t>진입 분기</t>
        </is>
      </c>
      <c r="E18" s="21" t="inlineStr">
        <is>
          <t>세션 만료 후 재진입</t>
        </is>
      </c>
      <c r="F18" s="14" t="n"/>
      <c r="G18" s="19" t="n"/>
      <c r="H18" s="19" t="n"/>
      <c r="I18" s="14" t="inlineStr">
        <is>
          <t>간편 프로필 자리에 로그인 버튼 노출된다</t>
        </is>
      </c>
      <c r="J18" s="10" t="inlineStr">
        <is>
          <t>공통</t>
        </is>
      </c>
      <c r="K18" s="10" t="inlineStr">
        <is>
          <t>High</t>
        </is>
      </c>
      <c r="L18" s="16">
        <f>IF(COUNTIF(M18:M18,"Fail")&gt;0,"Fail",IF(COUNTIF(M18:M18,"Blocked")&gt;0,"Blocked",IF(COUNTIF(M18:M18,"NI")&gt;0,"NI",IF(COUNTIF(M18:M18,"Pass")&gt;0,"Pass",""))))</f>
        <v/>
      </c>
      <c r="M18" s="17" t="n"/>
      <c r="N18" s="18" t="n"/>
      <c r="O18" s="18" t="n"/>
      <c r="P18" s="19" t="n"/>
      <c r="Q18" s="10" t="inlineStr">
        <is>
          <t>TC-ENT-003</t>
        </is>
      </c>
      <c r="R18" s="10" t="inlineStr">
        <is>
          <t>결정적</t>
        </is>
      </c>
      <c r="S18" s="10" t="inlineStr">
        <is>
          <t>세션 만료</t>
        </is>
      </c>
    </row>
    <row r="19" ht="30" customHeight="1">
      <c r="B19" s="10">
        <f>ROW()-9</f>
        <v/>
      </c>
      <c r="C19" s="11" t="inlineStr">
        <is>
          <t>웹 진입</t>
        </is>
      </c>
      <c r="D19" s="12" t="inlineStr">
        <is>
          <t>진입 분기</t>
        </is>
      </c>
      <c r="E19" s="22" t="inlineStr">
        <is>
          <t>세션 만료 상태 로그인 필요 동작 차단</t>
        </is>
      </c>
      <c r="F19" s="14" t="inlineStr">
        <is>
          <t>계정 A로 로그인한 뒤 세션이 만료된 상태로 홈 화면에 재진입한 상태</t>
        </is>
      </c>
      <c r="G19" s="15" t="n">
        <v>1</v>
      </c>
      <c r="H19" s="14" t="inlineStr">
        <is>
          <t>채팅 탭 선택한다</t>
        </is>
      </c>
      <c r="I19" s="14" t="inlineStr">
        <is>
          <t>채팅 탭 열리지 않는다</t>
        </is>
      </c>
      <c r="J19" s="10" t="inlineStr">
        <is>
          <t>공통</t>
        </is>
      </c>
      <c r="K19" s="10" t="inlineStr">
        <is>
          <t>High</t>
        </is>
      </c>
      <c r="L19" s="16">
        <f>IF(COUNTIF(M19:M19,"Fail")&gt;0,"Fail",IF(COUNTIF(M19:M19,"Blocked")&gt;0,"Blocked",IF(COUNTIF(M19:M19,"NI")&gt;0,"NI",IF(COUNTIF(M19:M19,"Pass")&gt;0,"Pass",""))))</f>
        <v/>
      </c>
      <c r="M19" s="17" t="n"/>
      <c r="N19" s="18" t="n"/>
      <c r="O19" s="18" t="n"/>
      <c r="P19" s="14" t="inlineStr">
        <is>
          <t>TC-ENT-003의 만료 흐름을 이어받는 케이스라 웹 진입에 두었습니다. 만료 상태에서 막히는 로그인 필요 동작의 목록은 system-spec §1-1 세션 만료 행입니다</t>
        </is>
      </c>
      <c r="Q19" s="10" t="inlineStr">
        <is>
          <t>TC-ENT-004</t>
        </is>
      </c>
      <c r="R19" s="10" t="inlineStr">
        <is>
          <t>금칙</t>
        </is>
      </c>
      <c r="S19" s="10" t="inlineStr">
        <is>
          <t>세션 만료</t>
        </is>
      </c>
    </row>
    <row r="20" ht="30" customHeight="1">
      <c r="B20" s="10">
        <f>ROW()-9</f>
        <v/>
      </c>
      <c r="C20" s="11" t="inlineStr">
        <is>
          <t>웹 진입</t>
        </is>
      </c>
      <c r="D20" s="12" t="inlineStr">
        <is>
          <t>진입 분기</t>
        </is>
      </c>
      <c r="E20" s="22" t="inlineStr">
        <is>
          <t>세션 만료 상태 로그인 필요 동작 차단</t>
        </is>
      </c>
      <c r="F20" s="19" t="n"/>
      <c r="G20" s="19" t="n"/>
      <c r="H20" s="19" t="n"/>
      <c r="I20" s="14" t="inlineStr">
        <is>
          <t>로그인 모달 노출된다</t>
        </is>
      </c>
      <c r="J20" s="10" t="inlineStr">
        <is>
          <t>공통</t>
        </is>
      </c>
      <c r="K20" s="10" t="inlineStr">
        <is>
          <t>High</t>
        </is>
      </c>
      <c r="L20" s="16">
        <f>IF(COUNTIF(M20:M20,"Fail")&gt;0,"Fail",IF(COUNTIF(M20:M20,"Blocked")&gt;0,"Blocked",IF(COUNTIF(M20:M20,"NI")&gt;0,"NI",IF(COUNTIF(M20:M20,"Pass")&gt;0,"Pass",""))))</f>
        <v/>
      </c>
      <c r="M20" s="17" t="n"/>
      <c r="N20" s="18" t="n"/>
      <c r="O20" s="18" t="n"/>
      <c r="P20" s="19" t="n"/>
      <c r="Q20" s="10" t="inlineStr">
        <is>
          <t>TC-ENT-004</t>
        </is>
      </c>
      <c r="R20" s="10" t="inlineStr">
        <is>
          <t>금칙</t>
        </is>
      </c>
      <c r="S20" s="10" t="inlineStr">
        <is>
          <t>세션 만료</t>
        </is>
      </c>
    </row>
    <row r="21" ht="30" customHeight="1">
      <c r="B21" s="10">
        <f>ROW()-9</f>
        <v/>
      </c>
      <c r="C21" s="11" t="inlineStr">
        <is>
          <t>웹 진입</t>
        </is>
      </c>
      <c r="D21" s="23" t="inlineStr">
        <is>
          <t>주소 직접 진입</t>
        </is>
      </c>
      <c r="E21" s="24" t="inlineStr">
        <is>
          <t>로그인 상태 로그인 필요 화면 직접 진입</t>
        </is>
      </c>
      <c r="F21" s="14" t="inlineStr">
        <is>
          <t>계정 A로 로그인한 상태</t>
        </is>
      </c>
      <c r="G21" s="15" t="n">
        <v>1</v>
      </c>
      <c r="H21" s="14" t="inlineStr">
        <is>
          <t>MY 탭 주소로 직접 진입한다</t>
        </is>
      </c>
      <c r="I21" s="14" t="inlineStr">
        <is>
          <t>로그인 화면 없이 MY 탭 노출된다</t>
        </is>
      </c>
      <c r="J21" s="10" t="inlineStr">
        <is>
          <t>공통</t>
        </is>
      </c>
      <c r="K21" s="10" t="inlineStr">
        <is>
          <t>Medium</t>
        </is>
      </c>
      <c r="L21" s="16">
        <f>IF(COUNTIF(M21:M21,"Fail")&gt;0,"Fail",IF(COUNTIF(M21:M21,"Blocked")&gt;0,"Blocked",IF(COUNTIF(M21:M21,"NI")&gt;0,"NI",IF(COUNTIF(M21:M21,"Pass")&gt;0,"Pass",""))))</f>
        <v/>
      </c>
      <c r="M21" s="17" t="n"/>
      <c r="N21" s="18" t="n"/>
      <c r="O21" s="18" t="n"/>
      <c r="P21" s="14" t="inlineStr">
        <is>
          <t>주소 끝에 `?screen=s6`을 붙여 엽니다. 아래 차단 케이스들과 짝이며, 막히는 것이 로그인 여부 때문임을 이 케이스가 보입니다</t>
        </is>
      </c>
      <c r="Q21" s="10" t="inlineStr">
        <is>
          <t>TC-ENT-005</t>
        </is>
      </c>
      <c r="R21" s="10" t="inlineStr">
        <is>
          <t>결정적</t>
        </is>
      </c>
      <c r="S21" s="10" t="inlineStr">
        <is>
          <t>성인 인증</t>
        </is>
      </c>
    </row>
    <row r="22" ht="30" customHeight="1">
      <c r="B22" s="10">
        <f>ROW()-9</f>
        <v/>
      </c>
      <c r="C22" s="11" t="inlineStr">
        <is>
          <t>웹 진입</t>
        </is>
      </c>
      <c r="D22" s="23" t="inlineStr">
        <is>
          <t>주소 직접 진입</t>
        </is>
      </c>
      <c r="E22" s="25" t="inlineStr">
        <is>
          <t>로그인 필요 화면 차단과 로그인 후 복귀</t>
        </is>
      </c>
      <c r="F22" s="14" t="inlineStr">
        <is>
          <t>미로그인 상태</t>
        </is>
      </c>
      <c r="G22" s="15" t="n">
        <v>1</v>
      </c>
      <c r="H22" s="14" t="inlineStr">
        <is>
          <t>대화방 주소로 직접 진입한다</t>
        </is>
      </c>
      <c r="I22" s="14" t="inlineStr">
        <is>
          <t>대화방 노출되지 않는다</t>
        </is>
      </c>
      <c r="J22" s="10" t="inlineStr">
        <is>
          <t>공통</t>
        </is>
      </c>
      <c r="K22" s="10" t="inlineStr">
        <is>
          <t>High</t>
        </is>
      </c>
      <c r="L22" s="16">
        <f>IF(COUNTIF(M22:M22,"Fail")&gt;0,"Fail",IF(COUNTIF(M22:M22,"Blocked")&gt;0,"Blocked",IF(COUNTIF(M22:M22,"NI")&gt;0,"NI",IF(COUNTIF(M22:M22,"Pass")&gt;0,"Pass",""))))</f>
        <v/>
      </c>
      <c r="M22" s="17" t="n"/>
      <c r="N22" s="18" t="n"/>
      <c r="O22" s="18" t="n"/>
      <c r="P22" s="14" t="inlineStr">
        <is>
          <t>주소 끝에 `?screen=s4`를 붙입니다. 뒤에 깔 화면이 없는 경우라 모달이 아니라 로그인 화면이 뜨는 자리입니다(system-spec §1-1)</t>
        </is>
      </c>
      <c r="Q22" s="10" t="inlineStr">
        <is>
          <t>TC-GAT-001</t>
        </is>
      </c>
      <c r="R22" s="10" t="inlineStr">
        <is>
          <t>금칙</t>
        </is>
      </c>
      <c r="S22" s="10" t="inlineStr">
        <is>
          <t>미로그인</t>
        </is>
      </c>
    </row>
    <row r="23" ht="30" customHeight="1">
      <c r="B23" s="10">
        <f>ROW()-9</f>
        <v/>
      </c>
      <c r="C23" s="11" t="inlineStr">
        <is>
          <t>웹 진입</t>
        </is>
      </c>
      <c r="D23" s="23" t="inlineStr">
        <is>
          <t>주소 직접 진입</t>
        </is>
      </c>
      <c r="E23" s="25" t="inlineStr">
        <is>
          <t>로그인 필요 화면 차단과 로그인 후 복귀</t>
        </is>
      </c>
      <c r="F23" s="19" t="n"/>
      <c r="G23" s="19" t="n"/>
      <c r="H23" s="19" t="n"/>
      <c r="I23" s="14" t="inlineStr">
        <is>
          <t>로그인 모달이 아니라 로그인 화면 노출된다</t>
        </is>
      </c>
      <c r="J23" s="10" t="inlineStr">
        <is>
          <t>공통</t>
        </is>
      </c>
      <c r="K23" s="10" t="inlineStr">
        <is>
          <t>High</t>
        </is>
      </c>
      <c r="L23" s="16">
        <f>IF(COUNTIF(M23:M23,"Fail")&gt;0,"Fail",IF(COUNTIF(M23:M23,"Blocked")&gt;0,"Blocked",IF(COUNTIF(M23:M23,"NI")&gt;0,"NI",IF(COUNTIF(M23:M23,"Pass")&gt;0,"Pass",""))))</f>
        <v/>
      </c>
      <c r="M23" s="17" t="n"/>
      <c r="N23" s="18" t="n"/>
      <c r="O23" s="18" t="n"/>
      <c r="P23" s="19" t="n"/>
      <c r="Q23" s="10" t="inlineStr">
        <is>
          <t>TC-GAT-001</t>
        </is>
      </c>
      <c r="R23" s="10" t="inlineStr">
        <is>
          <t>금칙</t>
        </is>
      </c>
      <c r="S23" s="10" t="inlineStr">
        <is>
          <t>미로그인</t>
        </is>
      </c>
    </row>
    <row r="24" ht="30" customHeight="1">
      <c r="B24" s="10">
        <f>ROW()-9</f>
        <v/>
      </c>
      <c r="C24" s="11" t="inlineStr">
        <is>
          <t>웹 진입</t>
        </is>
      </c>
      <c r="D24" s="23" t="inlineStr">
        <is>
          <t>주소 직접 진입</t>
        </is>
      </c>
      <c r="E24" s="25" t="inlineStr">
        <is>
          <t>로그인 필요 화면 차단과 로그인 후 복귀</t>
        </is>
      </c>
      <c r="F24" s="14" t="inlineStr"/>
      <c r="G24" s="15" t="n">
        <v>2</v>
      </c>
      <c r="H24" s="14" t="inlineStr">
        <is>
          <t>로그인 화면에서 계정 A 선택한다</t>
        </is>
      </c>
      <c r="I24" s="14" t="inlineStr">
        <is>
          <t>원래 열려던 대화방으로 복귀된다</t>
        </is>
      </c>
      <c r="J24" s="10" t="inlineStr">
        <is>
          <t>공통</t>
        </is>
      </c>
      <c r="K24" s="10" t="inlineStr">
        <is>
          <t>High</t>
        </is>
      </c>
      <c r="L24" s="16">
        <f>IF(COUNTIF(M24:M24,"Fail")&gt;0,"Fail",IF(COUNTIF(M24:M24,"Blocked")&gt;0,"Blocked",IF(COUNTIF(M24:M24,"NI")&gt;0,"NI",IF(COUNTIF(M24:M24,"Pass")&gt;0,"Pass",""))))</f>
        <v/>
      </c>
      <c r="M24" s="17" t="n"/>
      <c r="N24" s="18" t="n"/>
      <c r="O24" s="18" t="n"/>
      <c r="P24" s="14" t="n"/>
      <c r="Q24" s="10" t="inlineStr">
        <is>
          <t>TC-GAT-001</t>
        </is>
      </c>
      <c r="R24" s="10" t="inlineStr">
        <is>
          <t>금칙</t>
        </is>
      </c>
      <c r="S24" s="10" t="inlineStr">
        <is>
          <t>미로그인</t>
        </is>
      </c>
    </row>
    <row r="25" ht="30" customHeight="1">
      <c r="B25" s="10">
        <f>ROW()-9</f>
        <v/>
      </c>
      <c r="C25" s="11" t="inlineStr">
        <is>
          <t>웹 진입</t>
        </is>
      </c>
      <c r="D25" s="23" t="inlineStr">
        <is>
          <t>주소 직접 진입</t>
        </is>
      </c>
      <c r="E25" s="26" t="inlineStr">
        <is>
          <t>채팅 탭 차단</t>
        </is>
      </c>
      <c r="F25" s="14" t="inlineStr">
        <is>
          <t>미로그인 상태</t>
        </is>
      </c>
      <c r="G25" s="15" t="n">
        <v>1</v>
      </c>
      <c r="H25" s="14" t="inlineStr">
        <is>
          <t>채팅 탭 주소로 직접 진입한다</t>
        </is>
      </c>
      <c r="I25" s="14" t="inlineStr">
        <is>
          <t>채팅 탭 노출되지 않는다</t>
        </is>
      </c>
      <c r="J25" s="10" t="inlineStr">
        <is>
          <t>공통</t>
        </is>
      </c>
      <c r="K25" s="10" t="inlineStr">
        <is>
          <t>High</t>
        </is>
      </c>
      <c r="L25" s="16">
        <f>IF(COUNTIF(M25:M25,"Fail")&gt;0,"Fail",IF(COUNTIF(M25:M25,"Blocked")&gt;0,"Blocked",IF(COUNTIF(M25:M25,"NI")&gt;0,"NI",IF(COUNTIF(M25:M25,"Pass")&gt;0,"Pass",""))))</f>
        <v/>
      </c>
      <c r="M25" s="17" t="n"/>
      <c r="N25" s="18" t="n"/>
      <c r="O25" s="18" t="n"/>
      <c r="P25" s="14" t="inlineStr">
        <is>
          <t>주소 끝에 `?screen=s5`를 붙입니다. 로그인 필요 화면마다 케이스를 나눈 것은 하나만 뚫렸을 때 어느 화면인지 TC ID로 읽히게 하기 위해서입니다</t>
        </is>
      </c>
      <c r="Q25" s="10" t="inlineStr">
        <is>
          <t>TC-GAT-002</t>
        </is>
      </c>
      <c r="R25" s="10" t="inlineStr">
        <is>
          <t>금칙</t>
        </is>
      </c>
      <c r="S25" s="10" t="inlineStr">
        <is>
          <t>미로그인</t>
        </is>
      </c>
    </row>
    <row r="26" ht="30" customHeight="1">
      <c r="B26" s="10">
        <f>ROW()-9</f>
        <v/>
      </c>
      <c r="C26" s="11" t="inlineStr">
        <is>
          <t>웹 진입</t>
        </is>
      </c>
      <c r="D26" s="23" t="inlineStr">
        <is>
          <t>주소 직접 진입</t>
        </is>
      </c>
      <c r="E26" s="26" t="inlineStr">
        <is>
          <t>채팅 탭 차단</t>
        </is>
      </c>
      <c r="F26" s="19" t="n"/>
      <c r="G26" s="19" t="n"/>
      <c r="H26" s="19" t="n"/>
      <c r="I26" s="14" t="inlineStr">
        <is>
          <t>로그인 화면 노출된다</t>
        </is>
      </c>
      <c r="J26" s="10" t="inlineStr">
        <is>
          <t>공통</t>
        </is>
      </c>
      <c r="K26" s="10" t="inlineStr">
        <is>
          <t>High</t>
        </is>
      </c>
      <c r="L26" s="16">
        <f>IF(COUNTIF(M26:M26,"Fail")&gt;0,"Fail",IF(COUNTIF(M26:M26,"Blocked")&gt;0,"Blocked",IF(COUNTIF(M26:M26,"NI")&gt;0,"NI",IF(COUNTIF(M26:M26,"Pass")&gt;0,"Pass",""))))</f>
        <v/>
      </c>
      <c r="M26" s="17" t="n"/>
      <c r="N26" s="18" t="n"/>
      <c r="O26" s="18" t="n"/>
      <c r="P26" s="19" t="n"/>
      <c r="Q26" s="10" t="inlineStr">
        <is>
          <t>TC-GAT-002</t>
        </is>
      </c>
      <c r="R26" s="10" t="inlineStr">
        <is>
          <t>금칙</t>
        </is>
      </c>
      <c r="S26" s="10" t="inlineStr">
        <is>
          <t>미로그인</t>
        </is>
      </c>
    </row>
    <row r="27" ht="30" customHeight="1">
      <c r="B27" s="10">
        <f>ROW()-9</f>
        <v/>
      </c>
      <c r="C27" s="11" t="inlineStr">
        <is>
          <t>웹 진입</t>
        </is>
      </c>
      <c r="D27" s="23" t="inlineStr">
        <is>
          <t>주소 직접 진입</t>
        </is>
      </c>
      <c r="E27" s="27" t="inlineStr">
        <is>
          <t>MY 탭 차단</t>
        </is>
      </c>
      <c r="F27" s="14" t="inlineStr">
        <is>
          <t>미로그인 상태</t>
        </is>
      </c>
      <c r="G27" s="15" t="n">
        <v>1</v>
      </c>
      <c r="H27" s="14" t="inlineStr">
        <is>
          <t>MY 탭 주소로 직접 진입한다</t>
        </is>
      </c>
      <c r="I27" s="14" t="inlineStr">
        <is>
          <t>MY 탭 노출되지 않는다</t>
        </is>
      </c>
      <c r="J27" s="10" t="inlineStr">
        <is>
          <t>공통</t>
        </is>
      </c>
      <c r="K27" s="10" t="inlineStr">
        <is>
          <t>High</t>
        </is>
      </c>
      <c r="L27" s="16">
        <f>IF(COUNTIF(M27:M27,"Fail")&gt;0,"Fail",IF(COUNTIF(M27:M27,"Blocked")&gt;0,"Blocked",IF(COUNTIF(M27:M27,"NI")&gt;0,"NI",IF(COUNTIF(M27:M27,"Pass")&gt;0,"Pass",""))))</f>
        <v/>
      </c>
      <c r="M27" s="17" t="n"/>
      <c r="N27" s="18" t="n"/>
      <c r="O27" s="18" t="n"/>
      <c r="P27" s="14" t="inlineStr">
        <is>
          <t>주소 끝에 `?screen=s6`을 붙입니다. 로그인 상태에서 같은 주소가 열리는 것은 TC-ENT-005가 봅니다</t>
        </is>
      </c>
      <c r="Q27" s="10" t="inlineStr">
        <is>
          <t>TC-GAT-003</t>
        </is>
      </c>
      <c r="R27" s="10" t="inlineStr">
        <is>
          <t>금칙</t>
        </is>
      </c>
      <c r="S27" s="10" t="inlineStr">
        <is>
          <t>미로그인</t>
        </is>
      </c>
    </row>
    <row r="28" ht="30" customHeight="1">
      <c r="B28" s="10">
        <f>ROW()-9</f>
        <v/>
      </c>
      <c r="C28" s="11" t="inlineStr">
        <is>
          <t>웹 진입</t>
        </is>
      </c>
      <c r="D28" s="23" t="inlineStr">
        <is>
          <t>주소 직접 진입</t>
        </is>
      </c>
      <c r="E28" s="27" t="inlineStr">
        <is>
          <t>MY 탭 차단</t>
        </is>
      </c>
      <c r="F28" s="19" t="n"/>
      <c r="G28" s="19" t="n"/>
      <c r="H28" s="19" t="n"/>
      <c r="I28" s="14" t="inlineStr">
        <is>
          <t>로그인 화면 노출된다</t>
        </is>
      </c>
      <c r="J28" s="10" t="inlineStr">
        <is>
          <t>공통</t>
        </is>
      </c>
      <c r="K28" s="10" t="inlineStr">
        <is>
          <t>High</t>
        </is>
      </c>
      <c r="L28" s="16">
        <f>IF(COUNTIF(M28:M28,"Fail")&gt;0,"Fail",IF(COUNTIF(M28:M28,"Blocked")&gt;0,"Blocked",IF(COUNTIF(M28:M28,"NI")&gt;0,"NI",IF(COUNTIF(M28:M28,"Pass")&gt;0,"Pass",""))))</f>
        <v/>
      </c>
      <c r="M28" s="17" t="n"/>
      <c r="N28" s="18" t="n"/>
      <c r="O28" s="18" t="n"/>
      <c r="P28" s="19" t="n"/>
      <c r="Q28" s="10" t="inlineStr">
        <is>
          <t>TC-GAT-003</t>
        </is>
      </c>
      <c r="R28" s="10" t="inlineStr">
        <is>
          <t>금칙</t>
        </is>
      </c>
      <c r="S28" s="10" t="inlineStr">
        <is>
          <t>미로그인</t>
        </is>
      </c>
    </row>
    <row r="29" ht="30" customHeight="1">
      <c r="B29" s="10">
        <f>ROW()-9</f>
        <v/>
      </c>
      <c r="C29" s="11" t="inlineStr">
        <is>
          <t>웹 진입</t>
        </is>
      </c>
      <c r="D29" s="23" t="inlineStr">
        <is>
          <t>주소 직접 진입</t>
        </is>
      </c>
      <c r="E29" s="28" t="inlineStr">
        <is>
          <t>내 작품 탭 차단</t>
        </is>
      </c>
      <c r="F29" s="14" t="inlineStr">
        <is>
          <t>미로그인 상태</t>
        </is>
      </c>
      <c r="G29" s="15" t="n">
        <v>1</v>
      </c>
      <c r="H29" s="14" t="inlineStr">
        <is>
          <t>내 작품 탭 주소로 직접 진입한다</t>
        </is>
      </c>
      <c r="I29" s="14" t="inlineStr">
        <is>
          <t>내 작품 탭 노출되지 않는다</t>
        </is>
      </c>
      <c r="J29" s="10" t="inlineStr">
        <is>
          <t>공통</t>
        </is>
      </c>
      <c r="K29" s="10" t="inlineStr">
        <is>
          <t>High</t>
        </is>
      </c>
      <c r="L29" s="16">
        <f>IF(COUNTIF(M29:M29,"Fail")&gt;0,"Fail",IF(COUNTIF(M29:M29,"Blocked")&gt;0,"Blocked",IF(COUNTIF(M29:M29,"NI")&gt;0,"NI",IF(COUNTIF(M29:M29,"Pass")&gt;0,"Pass",""))))</f>
        <v/>
      </c>
      <c r="M29" s="17" t="n"/>
      <c r="N29" s="18" t="n"/>
      <c r="O29" s="18" t="n"/>
      <c r="P29" s="14" t="inlineStr">
        <is>
          <t>주소 끝에 `?screen=s8`을 붙입니다. 내 작품 탭은 스텁이지만 로그인 필요 화면이라 차단은 걸립니다</t>
        </is>
      </c>
      <c r="Q29" s="10" t="inlineStr">
        <is>
          <t>TC-GAT-004</t>
        </is>
      </c>
      <c r="R29" s="10" t="inlineStr">
        <is>
          <t>금칙</t>
        </is>
      </c>
      <c r="S29" s="10" t="inlineStr">
        <is>
          <t>미로그인</t>
        </is>
      </c>
    </row>
    <row r="30" ht="30" customHeight="1">
      <c r="B30" s="10">
        <f>ROW()-9</f>
        <v/>
      </c>
      <c r="C30" s="11" t="inlineStr">
        <is>
          <t>웹 진입</t>
        </is>
      </c>
      <c r="D30" s="23" t="inlineStr">
        <is>
          <t>주소 직접 진입</t>
        </is>
      </c>
      <c r="E30" s="28" t="inlineStr">
        <is>
          <t>내 작품 탭 차단</t>
        </is>
      </c>
      <c r="F30" s="19" t="n"/>
      <c r="G30" s="19" t="n"/>
      <c r="H30" s="19" t="n"/>
      <c r="I30" s="14" t="inlineStr">
        <is>
          <t>로그인 화면 노출된다</t>
        </is>
      </c>
      <c r="J30" s="10" t="inlineStr">
        <is>
          <t>공통</t>
        </is>
      </c>
      <c r="K30" s="10" t="inlineStr">
        <is>
          <t>High</t>
        </is>
      </c>
      <c r="L30" s="16">
        <f>IF(COUNTIF(M30:M30,"Fail")&gt;0,"Fail",IF(COUNTIF(M30:M30,"Blocked")&gt;0,"Blocked",IF(COUNTIF(M30:M30,"NI")&gt;0,"NI",IF(COUNTIF(M30:M30,"Pass")&gt;0,"Pass",""))))</f>
        <v/>
      </c>
      <c r="M30" s="17" t="n"/>
      <c r="N30" s="18" t="n"/>
      <c r="O30" s="18" t="n"/>
      <c r="P30" s="19" t="n"/>
      <c r="Q30" s="10" t="inlineStr">
        <is>
          <t>TC-GAT-004</t>
        </is>
      </c>
      <c r="R30" s="10" t="inlineStr">
        <is>
          <t>금칙</t>
        </is>
      </c>
      <c r="S30" s="10" t="inlineStr">
        <is>
          <t>미로그인</t>
        </is>
      </c>
    </row>
    <row r="31" ht="30" customHeight="1">
      <c r="B31" s="10">
        <f>ROW()-9</f>
        <v/>
      </c>
      <c r="C31" s="11" t="inlineStr">
        <is>
          <t>웹 진입</t>
        </is>
      </c>
      <c r="D31" s="23" t="inlineStr">
        <is>
          <t>주소 직접 진입</t>
        </is>
      </c>
      <c r="E31" s="29" t="inlineStr">
        <is>
          <t>홈 화면 통과</t>
        </is>
      </c>
      <c r="F31" s="14" t="inlineStr">
        <is>
          <t>미로그인 상태</t>
        </is>
      </c>
      <c r="G31" s="15" t="n">
        <v>1</v>
      </c>
      <c r="H31" s="14" t="inlineStr">
        <is>
          <t>홈 화면 주소로 직접 진입한다</t>
        </is>
      </c>
      <c r="I31" s="14" t="inlineStr">
        <is>
          <t>로그인 화면 없이 홈 화면 노출된다</t>
        </is>
      </c>
      <c r="J31" s="10" t="inlineStr">
        <is>
          <t>공통</t>
        </is>
      </c>
      <c r="K31" s="10" t="inlineStr">
        <is>
          <t>Medium</t>
        </is>
      </c>
      <c r="L31" s="16">
        <f>IF(COUNTIF(M31:M31,"Fail")&gt;0,"Fail",IF(COUNTIF(M31:M31,"Blocked")&gt;0,"Blocked",IF(COUNTIF(M31:M31,"NI")&gt;0,"NI",IF(COUNTIF(M31:M31,"Pass")&gt;0,"Pass",""))))</f>
        <v/>
      </c>
      <c r="M31" s="17" t="n"/>
      <c r="N31" s="18" t="n"/>
      <c r="O31" s="18" t="n"/>
      <c r="P31" s="14" t="inlineStr">
        <is>
          <t>주소 끝에 `?screen=s2`를 붙입니다. 차단이 미로그인 열람 화면까지 과하게 걸리지 않는지를 보는 자리라 위 차단 케이스들과 함께 읽습니다</t>
        </is>
      </c>
      <c r="Q31" s="10" t="inlineStr">
        <is>
          <t>TC-GAT-005</t>
        </is>
      </c>
      <c r="R31" s="10" t="inlineStr">
        <is>
          <t>결정적</t>
        </is>
      </c>
      <c r="S31" s="10" t="inlineStr">
        <is>
          <t>미로그인</t>
        </is>
      </c>
    </row>
    <row r="32" ht="30" customHeight="1">
      <c r="B32" s="10">
        <f>ROW()-9</f>
        <v/>
      </c>
      <c r="C32" s="11" t="inlineStr">
        <is>
          <t>웹 진입</t>
        </is>
      </c>
      <c r="D32" s="23" t="inlineStr">
        <is>
          <t>주소 직접 진입</t>
        </is>
      </c>
      <c r="E32" s="30" t="inlineStr">
        <is>
          <t>커뮤니티 탭 통과</t>
        </is>
      </c>
      <c r="F32" s="14" t="inlineStr">
        <is>
          <t>미로그인 상태</t>
        </is>
      </c>
      <c r="G32" s="15" t="n">
        <v>1</v>
      </c>
      <c r="H32" s="14" t="inlineStr">
        <is>
          <t>커뮤니티 탭 주소로 직접 진입한다</t>
        </is>
      </c>
      <c r="I32" s="14" t="inlineStr">
        <is>
          <t>로그인 화면 없이 커뮤니티 탭 노출된다</t>
        </is>
      </c>
      <c r="J32" s="10" t="inlineStr">
        <is>
          <t>공통</t>
        </is>
      </c>
      <c r="K32" s="10" t="inlineStr">
        <is>
          <t>Medium</t>
        </is>
      </c>
      <c r="L32" s="16">
        <f>IF(COUNTIF(M32:M32,"Fail")&gt;0,"Fail",IF(COUNTIF(M32:M32,"Blocked")&gt;0,"Blocked",IF(COUNTIF(M32:M32,"NI")&gt;0,"NI",IF(COUNTIF(M32:M32,"Pass")&gt;0,"Pass",""))))</f>
        <v/>
      </c>
      <c r="M32" s="17" t="n"/>
      <c r="N32" s="18" t="n"/>
      <c r="O32" s="18" t="n"/>
      <c r="P32" s="14" t="inlineStr">
        <is>
          <t>주소 끝에 `?screen=s7`을 붙입니다. 커뮤니티 탭은 전시용 정적이지만 미로그인 열람 화면이라 통과합니다</t>
        </is>
      </c>
      <c r="Q32" s="10" t="inlineStr">
        <is>
          <t>TC-GAT-006</t>
        </is>
      </c>
      <c r="R32" s="10" t="inlineStr">
        <is>
          <t>결정적</t>
        </is>
      </c>
      <c r="S32" s="10" t="inlineStr">
        <is>
          <t>미로그인</t>
        </is>
      </c>
    </row>
    <row r="33" ht="30" customHeight="1">
      <c r="B33" s="10">
        <f>ROW()-9</f>
        <v/>
      </c>
      <c r="C33" s="31" t="inlineStr">
        <is>
          <t>전역 셸</t>
        </is>
      </c>
      <c r="D33" s="32" t="inlineStr">
        <is>
          <t>상단 바</t>
        </is>
      </c>
      <c r="E33" s="33" t="inlineStr">
        <is>
          <t>로고로 홈 복귀</t>
        </is>
      </c>
      <c r="F33" s="14" t="inlineStr">
        <is>
          <t>계정 A로 로그인해 캐릭터 페이지를 연 상태</t>
        </is>
      </c>
      <c r="G33" s="15" t="n">
        <v>1</v>
      </c>
      <c r="H33" s="14" t="inlineStr">
        <is>
          <t>상단 바 로고 선택한다</t>
        </is>
      </c>
      <c r="I33" s="14" t="inlineStr">
        <is>
          <t>홈 화면 노출된다</t>
        </is>
      </c>
      <c r="J33" s="10" t="inlineStr">
        <is>
          <t>공통</t>
        </is>
      </c>
      <c r="K33" s="10" t="inlineStr">
        <is>
          <t>Low</t>
        </is>
      </c>
      <c r="L33" s="16">
        <f>IF(COUNTIF(M33:M33,"Fail")&gt;0,"Fail",IF(COUNTIF(M33:M33,"Blocked")&gt;0,"Blocked",IF(COUNTIF(M33:M33,"NI")&gt;0,"NI",IF(COUNTIF(M33:M33,"Pass")&gt;0,"Pass",""))))</f>
        <v/>
      </c>
      <c r="M33" s="17" t="n"/>
      <c r="N33" s="18" t="n"/>
      <c r="O33" s="18" t="n"/>
      <c r="P33" s="14" t="inlineStr">
        <is>
          <t>홈이 아닌 화면에서 눌렀을 때 복귀하는지를 봅니다. 홈에서 다시 누를 때의 동작은 TC-DSC-002가 맡습니다</t>
        </is>
      </c>
      <c r="Q33" s="10" t="inlineStr">
        <is>
          <t>TC-DSC-001</t>
        </is>
      </c>
      <c r="R33" s="10" t="inlineStr">
        <is>
          <t>결정적</t>
        </is>
      </c>
      <c r="S33" s="10" t="inlineStr">
        <is>
          <t>성인 인증</t>
        </is>
      </c>
    </row>
    <row r="34" ht="30" customHeight="1">
      <c r="B34" s="10">
        <f>ROW()-9</f>
        <v/>
      </c>
      <c r="C34" s="31" t="inlineStr">
        <is>
          <t>전역 셸</t>
        </is>
      </c>
      <c r="D34" s="32" t="inlineStr">
        <is>
          <t>상단 바</t>
        </is>
      </c>
      <c r="E34" s="34" t="inlineStr">
        <is>
          <t>홈에서 로고 재선택</t>
        </is>
      </c>
      <c r="F34" s="14" t="inlineStr">
        <is>
          <t>계정 A로 로그인해 홈 화면을 아래로 스크롤한 상태</t>
        </is>
      </c>
      <c r="G34" s="15" t="n">
        <v>1</v>
      </c>
      <c r="H34" s="14" t="inlineStr">
        <is>
          <t>상단 바 로고 선택한다</t>
        </is>
      </c>
      <c r="I34" s="14" t="inlineStr">
        <is>
          <t>홈 화면 유지된다</t>
        </is>
      </c>
      <c r="J34" s="10" t="inlineStr">
        <is>
          <t>공통</t>
        </is>
      </c>
      <c r="K34" s="10" t="inlineStr">
        <is>
          <t>Low</t>
        </is>
      </c>
      <c r="L34" s="16">
        <f>IF(COUNTIF(M34:M34,"Fail")&gt;0,"Fail",IF(COUNTIF(M34:M34,"Blocked")&gt;0,"Blocked",IF(COUNTIF(M34:M34,"NI")&gt;0,"NI",IF(COUNTIF(M34:M34,"Pass")&gt;0,"Pass",""))))</f>
        <v/>
      </c>
      <c r="M34" s="17" t="n"/>
      <c r="N34" s="18" t="n"/>
      <c r="O34" s="18" t="n"/>
      <c r="P34" s="14" t="inlineStr">
        <is>
          <t>같은 버튼이 화면에 따라 다르게 동작하는 자리라 TC-DSC-001과 나눴습니다</t>
        </is>
      </c>
      <c r="Q34" s="10" t="inlineStr">
        <is>
          <t>TC-DSC-002</t>
        </is>
      </c>
      <c r="R34" s="10" t="inlineStr">
        <is>
          <t>결정적</t>
        </is>
      </c>
      <c r="S34" s="10" t="inlineStr">
        <is>
          <t>성인 인증</t>
        </is>
      </c>
    </row>
    <row r="35" ht="30" customHeight="1">
      <c r="B35" s="10">
        <f>ROW()-9</f>
        <v/>
      </c>
      <c r="C35" s="31" t="inlineStr">
        <is>
          <t>전역 셸</t>
        </is>
      </c>
      <c r="D35" s="32" t="inlineStr">
        <is>
          <t>상단 바</t>
        </is>
      </c>
      <c r="E35" s="34" t="inlineStr">
        <is>
          <t>홈에서 로고 재선택</t>
        </is>
      </c>
      <c r="F35" s="19" t="n"/>
      <c r="G35" s="19" t="n"/>
      <c r="H35" s="19" t="n"/>
      <c r="I35" s="14" t="inlineStr">
        <is>
          <t>목록이 최상단으로 스크롤된다</t>
        </is>
      </c>
      <c r="J35" s="10" t="inlineStr">
        <is>
          <t>공통</t>
        </is>
      </c>
      <c r="K35" s="10" t="inlineStr">
        <is>
          <t>Low</t>
        </is>
      </c>
      <c r="L35" s="16">
        <f>IF(COUNTIF(M35:M35,"Fail")&gt;0,"Fail",IF(COUNTIF(M35:M35,"Blocked")&gt;0,"Blocked",IF(COUNTIF(M35:M35,"NI")&gt;0,"NI",IF(COUNTIF(M35:M35,"Pass")&gt;0,"Pass",""))))</f>
        <v/>
      </c>
      <c r="M35" s="17" t="n"/>
      <c r="N35" s="18" t="n"/>
      <c r="O35" s="18" t="n"/>
      <c r="P35" s="19" t="n"/>
      <c r="Q35" s="10" t="inlineStr">
        <is>
          <t>TC-DSC-002</t>
        </is>
      </c>
      <c r="R35" s="10" t="inlineStr">
        <is>
          <t>결정적</t>
        </is>
      </c>
      <c r="S35" s="10" t="inlineStr">
        <is>
          <t>성인 인증</t>
        </is>
      </c>
    </row>
    <row r="36" ht="30" customHeight="1">
      <c r="B36" s="10">
        <f>ROW()-9</f>
        <v/>
      </c>
      <c r="C36" s="31" t="inlineStr">
        <is>
          <t>전역 셸</t>
        </is>
      </c>
      <c r="D36" s="32" t="inlineStr">
        <is>
          <t>상단 바</t>
        </is>
      </c>
      <c r="E36" s="35" t="inlineStr">
        <is>
          <t>페이지 제목 부분일치 검색</t>
        </is>
      </c>
      <c r="F36" s="14" t="inlineStr">
        <is>
          <t>계정 A로 로그인한 상태</t>
        </is>
      </c>
      <c r="G36" s="15" t="n">
        <v>1</v>
      </c>
      <c r="H36" s="14" t="inlineStr">
        <is>
          <t>상단 바 검색에 페이지 제목의 일부를 입력하고 실행한다</t>
        </is>
      </c>
      <c r="I36" s="14" t="inlineStr">
        <is>
          <t>홈 화면에 검색 결과 노출된다</t>
        </is>
      </c>
      <c r="J36" s="10" t="inlineStr">
        <is>
          <t>공통</t>
        </is>
      </c>
      <c r="K36" s="10" t="inlineStr">
        <is>
          <t>High</t>
        </is>
      </c>
      <c r="L36" s="16">
        <f>IF(COUNTIF(M36:M36,"Fail")&gt;0,"Fail",IF(COUNTIF(M36:M36,"Blocked")&gt;0,"Blocked",IF(COUNTIF(M36:M36,"NI")&gt;0,"NI",IF(COUNTIF(M36:M36,"Pass")&gt;0,"Pass",""))))</f>
        <v/>
      </c>
      <c r="M36" s="17" t="n"/>
      <c r="N36" s="18" t="n"/>
      <c r="O36" s="18" t="n"/>
      <c r="P36" s="14" t="inlineStr">
        <is>
          <t>기본 데이터에서는 「우산」으로 「비 오는 날의 우산」이 걸립니다. 검색 결과가 별도 화면이 아니라 홈 화면에 표시되는 점을 함께 봅니다</t>
        </is>
      </c>
      <c r="Q36" s="10" t="inlineStr">
        <is>
          <t>TC-DSC-003</t>
        </is>
      </c>
      <c r="R36" s="10" t="inlineStr">
        <is>
          <t>결정적</t>
        </is>
      </c>
      <c r="S36" s="10" t="inlineStr">
        <is>
          <t>성인 인증</t>
        </is>
      </c>
    </row>
    <row r="37" ht="30" customHeight="1">
      <c r="B37" s="10">
        <f>ROW()-9</f>
        <v/>
      </c>
      <c r="C37" s="31" t="inlineStr">
        <is>
          <t>전역 셸</t>
        </is>
      </c>
      <c r="D37" s="32" t="inlineStr">
        <is>
          <t>상단 바</t>
        </is>
      </c>
      <c r="E37" s="35" t="inlineStr">
        <is>
          <t>페이지 제목 부분일치 검색</t>
        </is>
      </c>
      <c r="F37" s="19" t="n"/>
      <c r="G37" s="19" t="n"/>
      <c r="H37" s="19" t="n"/>
      <c r="I37" s="14" t="inlineStr">
        <is>
          <t>입력한 조각을 제목에 포함한 작품이 결과에 노출된다</t>
        </is>
      </c>
      <c r="J37" s="10" t="inlineStr">
        <is>
          <t>공통</t>
        </is>
      </c>
      <c r="K37" s="10" t="inlineStr">
        <is>
          <t>High</t>
        </is>
      </c>
      <c r="L37" s="16">
        <f>IF(COUNTIF(M37:M37,"Fail")&gt;0,"Fail",IF(COUNTIF(M37:M37,"Blocked")&gt;0,"Blocked",IF(COUNTIF(M37:M37,"NI")&gt;0,"NI",IF(COUNTIF(M37:M37,"Pass")&gt;0,"Pass",""))))</f>
        <v/>
      </c>
      <c r="M37" s="17" t="n"/>
      <c r="N37" s="18" t="n"/>
      <c r="O37" s="18" t="n"/>
      <c r="P37" s="19" t="n"/>
      <c r="Q37" s="10" t="inlineStr">
        <is>
          <t>TC-DSC-003</t>
        </is>
      </c>
      <c r="R37" s="10" t="inlineStr">
        <is>
          <t>결정적</t>
        </is>
      </c>
      <c r="S37" s="10" t="inlineStr">
        <is>
          <t>성인 인증</t>
        </is>
      </c>
    </row>
    <row r="38" ht="30" customHeight="1">
      <c r="B38" s="10">
        <f>ROW()-9</f>
        <v/>
      </c>
      <c r="C38" s="31" t="inlineStr">
        <is>
          <t>전역 셸</t>
        </is>
      </c>
      <c r="D38" s="32" t="inlineStr">
        <is>
          <t>상단 바</t>
        </is>
      </c>
      <c r="E38" s="36" t="inlineStr">
        <is>
          <t>페이지 카테고리 부분일치 검색</t>
        </is>
      </c>
      <c r="F38" s="14" t="inlineStr">
        <is>
          <t>계정 A로 로그인한 상태</t>
        </is>
      </c>
      <c r="G38" s="15" t="n">
        <v>1</v>
      </c>
      <c r="H38" s="14" t="inlineStr">
        <is>
          <t>상단 바 검색에 페이지 카테고리명을 입력하고 실행한다</t>
        </is>
      </c>
      <c r="I38" s="14" t="inlineStr">
        <is>
          <t>그 카테고리를 가진 작품이 결과에 노출된다</t>
        </is>
      </c>
      <c r="J38" s="10" t="inlineStr">
        <is>
          <t>공통</t>
        </is>
      </c>
      <c r="K38" s="10" t="inlineStr">
        <is>
          <t>High</t>
        </is>
      </c>
      <c r="L38" s="16">
        <f>IF(COUNTIF(M38:M38,"Fail")&gt;0,"Fail",IF(COUNTIF(M38:M38,"Blocked")&gt;0,"Blocked",IF(COUNTIF(M38:M38,"NI")&gt;0,"NI",IF(COUNTIF(M38:M38,"Pass")&gt;0,"Pass",""))))</f>
        <v/>
      </c>
      <c r="M38" s="17" t="n"/>
      <c r="N38" s="18" t="n"/>
      <c r="O38" s="18" t="n"/>
      <c r="P38" s="14" t="inlineStr">
        <is>
          <t>기본 데이터에서는 「로맨스」로 세 작품이 걸립니다. 제목과 카테고리 두 축이 모두 검색 대상이라 TC-DSC-003과 나눴습니다</t>
        </is>
      </c>
      <c r="Q38" s="10" t="inlineStr">
        <is>
          <t>TC-DSC-004</t>
        </is>
      </c>
      <c r="R38" s="10" t="inlineStr">
        <is>
          <t>결정적</t>
        </is>
      </c>
      <c r="S38" s="10" t="inlineStr">
        <is>
          <t>성인 인증</t>
        </is>
      </c>
    </row>
    <row r="39" ht="30" customHeight="1">
      <c r="B39" s="10">
        <f>ROW()-9</f>
        <v/>
      </c>
      <c r="C39" s="31" t="inlineStr">
        <is>
          <t>전역 셸</t>
        </is>
      </c>
      <c r="D39" s="32" t="inlineStr">
        <is>
          <t>상단 바</t>
        </is>
      </c>
      <c r="E39" s="37" t="inlineStr">
        <is>
          <t>검색 결과 0건 안내</t>
        </is>
      </c>
      <c r="F39" s="14" t="inlineStr">
        <is>
          <t>계정 A로 로그인한 상태</t>
        </is>
      </c>
      <c r="G39" s="15" t="n">
        <v>1</v>
      </c>
      <c r="H39" s="14" t="inlineStr">
        <is>
          <t>상단 바 검색에 어느 제목·카테고리와도 겹치지 않는 문자열을 입력하고 실행한다</t>
        </is>
      </c>
      <c r="I39" s="14" t="inlineStr">
        <is>
          <t>결과 0건 안내 문구 노출된다</t>
        </is>
      </c>
      <c r="J39" s="10" t="inlineStr">
        <is>
          <t>공통</t>
        </is>
      </c>
      <c r="K39" s="10" t="inlineStr">
        <is>
          <t>Medium</t>
        </is>
      </c>
      <c r="L39" s="16">
        <f>IF(COUNTIF(M39:M39,"Fail")&gt;0,"Fail",IF(COUNTIF(M39:M39,"Blocked")&gt;0,"Blocked",IF(COUNTIF(M39:M39,"NI")&gt;0,"NI",IF(COUNTIF(M39:M39,"Pass")&gt;0,"Pass",""))))</f>
        <v/>
      </c>
      <c r="M39" s="17" t="n"/>
      <c r="N39" s="18" t="n"/>
      <c r="O39" s="18" t="n"/>
      <c r="P39" s="14" t="inlineStr">
        <is>
          <t>빈 결과에서 목록만 비고 안내가 없으면 검색이 안 걸린 것인지 결과가 없는 것인지 구분되지 않습니다</t>
        </is>
      </c>
      <c r="Q39" s="10" t="inlineStr">
        <is>
          <t>TC-DSC-005</t>
        </is>
      </c>
      <c r="R39" s="10" t="inlineStr">
        <is>
          <t>결정적</t>
        </is>
      </c>
      <c r="S39" s="10" t="inlineStr">
        <is>
          <t>성인 인증</t>
        </is>
      </c>
    </row>
    <row r="40" ht="30" customHeight="1">
      <c r="B40" s="10">
        <f>ROW()-9</f>
        <v/>
      </c>
      <c r="C40" s="31" t="inlineStr">
        <is>
          <t>전역 셸</t>
        </is>
      </c>
      <c r="D40" s="32" t="inlineStr">
        <is>
          <t>상단 바</t>
        </is>
      </c>
      <c r="E40" s="38" t="inlineStr">
        <is>
          <t>알림 목록이 데이터 시트를 반영</t>
        </is>
      </c>
      <c r="F40" s="14" t="inlineStr">
        <is>
          <t>계정 A로 로그인한 상태</t>
        </is>
      </c>
      <c r="G40" s="15" t="n">
        <v>1</v>
      </c>
      <c r="H40" s="14" t="inlineStr">
        <is>
          <t>상단 바 알림 선택한다</t>
        </is>
      </c>
      <c r="I40" s="14" t="inlineStr">
        <is>
          <t>알림 목록 노출된다</t>
        </is>
      </c>
      <c r="J40" s="10" t="inlineStr">
        <is>
          <t>공통</t>
        </is>
      </c>
      <c r="K40" s="10" t="inlineStr">
        <is>
          <t>Low</t>
        </is>
      </c>
      <c r="L40" s="16">
        <f>IF(COUNTIF(M40:M40,"Fail")&gt;0,"Fail",IF(COUNTIF(M40:M40,"Blocked")&gt;0,"Blocked",IF(COUNTIF(M40:M40,"NI")&gt;0,"NI",IF(COUNTIF(M40:M40,"Pass")&gt;0,"Pass",""))))</f>
        <v/>
      </c>
      <c r="M40" s="17" t="n"/>
      <c r="N40" s="18" t="n"/>
      <c r="O40" s="18" t="n"/>
      <c r="P40" s="14" t="inlineStr">
        <is>
          <t>발생 로직은 없고 표시 반영만 검증합니다. 항목은 디버그 콘솔에서 늘리고 비울 수 있습니다</t>
        </is>
      </c>
      <c r="Q40" s="10" t="inlineStr">
        <is>
          <t>TC-DSC-006</t>
        </is>
      </c>
      <c r="R40" s="10" t="inlineStr">
        <is>
          <t>결정적</t>
        </is>
      </c>
      <c r="S40" s="10" t="inlineStr">
        <is>
          <t>성인 인증</t>
        </is>
      </c>
    </row>
    <row r="41" ht="30" customHeight="1">
      <c r="B41" s="10">
        <f>ROW()-9</f>
        <v/>
      </c>
      <c r="C41" s="31" t="inlineStr">
        <is>
          <t>전역 셸</t>
        </is>
      </c>
      <c r="D41" s="32" t="inlineStr">
        <is>
          <t>상단 바</t>
        </is>
      </c>
      <c r="E41" s="38" t="inlineStr">
        <is>
          <t>알림 목록이 데이터 시트를 반영</t>
        </is>
      </c>
      <c r="F41" s="19" t="n"/>
      <c r="G41" s="19" t="n"/>
      <c r="H41" s="19" t="n"/>
      <c r="I41" s="14" t="inlineStr">
        <is>
          <t>데이터 시트의 알림 항목이 목록에 노출된다</t>
        </is>
      </c>
      <c r="J41" s="10" t="inlineStr">
        <is>
          <t>공통</t>
        </is>
      </c>
      <c r="K41" s="10" t="inlineStr">
        <is>
          <t>Low</t>
        </is>
      </c>
      <c r="L41" s="16">
        <f>IF(COUNTIF(M41:M41,"Fail")&gt;0,"Fail",IF(COUNTIF(M41:M41,"Blocked")&gt;0,"Blocked",IF(COUNTIF(M41:M41,"NI")&gt;0,"NI",IF(COUNTIF(M41:M41,"Pass")&gt;0,"Pass",""))))</f>
        <v/>
      </c>
      <c r="M41" s="17" t="n"/>
      <c r="N41" s="18" t="n"/>
      <c r="O41" s="18" t="n"/>
      <c r="P41" s="19" t="n"/>
      <c r="Q41" s="10" t="inlineStr">
        <is>
          <t>TC-DSC-006</t>
        </is>
      </c>
      <c r="R41" s="10" t="inlineStr">
        <is>
          <t>결정적</t>
        </is>
      </c>
      <c r="S41" s="10" t="inlineStr">
        <is>
          <t>성인 인증</t>
        </is>
      </c>
    </row>
    <row r="42" ht="30" customHeight="1">
      <c r="B42" s="10">
        <f>ROW()-9</f>
        <v/>
      </c>
      <c r="C42" s="31" t="inlineStr">
        <is>
          <t>전역 셸</t>
        </is>
      </c>
      <c r="D42" s="32" t="inlineStr">
        <is>
          <t>상단 바</t>
        </is>
      </c>
      <c r="E42" s="39" t="inlineStr">
        <is>
          <t>알림 빈 상태 안내</t>
        </is>
      </c>
      <c r="F42" s="14" t="inlineStr">
        <is>
          <t>계정 A로 로그인하고 디버그 콘솔에서 알림을 모두 비운 상태</t>
        </is>
      </c>
      <c r="G42" s="15" t="n">
        <v>1</v>
      </c>
      <c r="H42" s="14" t="inlineStr">
        <is>
          <t>상단 바 알림 선택한다</t>
        </is>
      </c>
      <c r="I42" s="14" t="inlineStr">
        <is>
          <t>빈 상태 안내 노출된다</t>
        </is>
      </c>
      <c r="J42" s="10" t="inlineStr">
        <is>
          <t>공통</t>
        </is>
      </c>
      <c r="K42" s="10" t="inlineStr">
        <is>
          <t>Low</t>
        </is>
      </c>
      <c r="L42" s="16">
        <f>IF(COUNTIF(M42:M42,"Fail")&gt;0,"Fail",IF(COUNTIF(M42:M42,"Blocked")&gt;0,"Blocked",IF(COUNTIF(M42:M42,"NI")&gt;0,"NI",IF(COUNTIF(M42:M42,"Pass")&gt;0,"Pass",""))))</f>
        <v/>
      </c>
      <c r="M42" s="17" t="n"/>
      <c r="N42" s="18" t="n"/>
      <c r="O42" s="18" t="n"/>
      <c r="P42" s="14" t="inlineStr">
        <is>
          <t>디버그 콘솔의 [알림 비우기] 뒤 [저장]으로 조건을 만듭니다</t>
        </is>
      </c>
      <c r="Q42" s="10" t="inlineStr">
        <is>
          <t>TC-DSC-007</t>
        </is>
      </c>
      <c r="R42" s="10" t="inlineStr">
        <is>
          <t>결정적</t>
        </is>
      </c>
      <c r="S42" s="10" t="inlineStr">
        <is>
          <t>성인 인증</t>
        </is>
      </c>
    </row>
    <row r="43" ht="30" customHeight="1">
      <c r="B43" s="10">
        <f>ROW()-9</f>
        <v/>
      </c>
      <c r="C43" s="31" t="inlineStr">
        <is>
          <t>전역 셸</t>
        </is>
      </c>
      <c r="D43" s="32" t="inlineStr">
        <is>
          <t>상단 바</t>
        </is>
      </c>
      <c r="E43" s="40" t="inlineStr">
        <is>
          <t>미로그인 알림 열람 차단</t>
        </is>
      </c>
      <c r="F43" s="14" t="inlineStr">
        <is>
          <t>미로그인 상태</t>
        </is>
      </c>
      <c r="G43" s="15" t="n">
        <v>1</v>
      </c>
      <c r="H43" s="14" t="inlineStr">
        <is>
          <t>상단 바 알림 선택한다</t>
        </is>
      </c>
      <c r="I43" s="14" t="inlineStr">
        <is>
          <t>알림 목록 노출되지 않는다</t>
        </is>
      </c>
      <c r="J43" s="10" t="inlineStr">
        <is>
          <t>공통</t>
        </is>
      </c>
      <c r="K43" s="10" t="inlineStr">
        <is>
          <t>High</t>
        </is>
      </c>
      <c r="L43" s="16">
        <f>IF(COUNTIF(M43:M43,"Fail")&gt;0,"Fail",IF(COUNTIF(M43:M43,"Blocked")&gt;0,"Blocked",IF(COUNTIF(M43:M43,"NI")&gt;0,"NI",IF(COUNTIF(M43:M43,"Pass")&gt;0,"Pass",""))))</f>
        <v/>
      </c>
      <c r="M43" s="17" t="n"/>
      <c r="N43" s="18" t="n"/>
      <c r="O43" s="18" t="n"/>
      <c r="P43" s="14" t="inlineStr">
        <is>
          <t>알림 열람은 명세 §1-1의 로그인 필요 동작입니다. 상단 바에는 잔액·간편 프로필 대신 로그인 버튼이 놓입니다</t>
        </is>
      </c>
      <c r="Q43" s="10" t="inlineStr">
        <is>
          <t>TC-GAT-007</t>
        </is>
      </c>
      <c r="R43" s="10" t="inlineStr">
        <is>
          <t>금칙</t>
        </is>
      </c>
      <c r="S43" s="10" t="inlineStr">
        <is>
          <t>미로그인</t>
        </is>
      </c>
    </row>
    <row r="44" ht="30" customHeight="1">
      <c r="B44" s="10">
        <f>ROW()-9</f>
        <v/>
      </c>
      <c r="C44" s="31" t="inlineStr">
        <is>
          <t>전역 셸</t>
        </is>
      </c>
      <c r="D44" s="32" t="inlineStr">
        <is>
          <t>상단 바</t>
        </is>
      </c>
      <c r="E44" s="40" t="inlineStr">
        <is>
          <t>미로그인 알림 열람 차단</t>
        </is>
      </c>
      <c r="F44" s="19" t="n"/>
      <c r="G44" s="19" t="n"/>
      <c r="H44" s="19" t="n"/>
      <c r="I44" s="14" t="inlineStr">
        <is>
          <t>로그인 모달 노출된다</t>
        </is>
      </c>
      <c r="J44" s="10" t="inlineStr">
        <is>
          <t>공통</t>
        </is>
      </c>
      <c r="K44" s="10" t="inlineStr">
        <is>
          <t>High</t>
        </is>
      </c>
      <c r="L44" s="16">
        <f>IF(COUNTIF(M44:M44,"Fail")&gt;0,"Fail",IF(COUNTIF(M44:M44,"Blocked")&gt;0,"Blocked",IF(COUNTIF(M44:M44,"NI")&gt;0,"NI",IF(COUNTIF(M44:M44,"Pass")&gt;0,"Pass",""))))</f>
        <v/>
      </c>
      <c r="M44" s="17" t="n"/>
      <c r="N44" s="18" t="n"/>
      <c r="O44" s="18" t="n"/>
      <c r="P44" s="19" t="n"/>
      <c r="Q44" s="10" t="inlineStr">
        <is>
          <t>TC-GAT-007</t>
        </is>
      </c>
      <c r="R44" s="10" t="inlineStr">
        <is>
          <t>금칙</t>
        </is>
      </c>
      <c r="S44" s="10" t="inlineStr">
        <is>
          <t>미로그인</t>
        </is>
      </c>
    </row>
    <row r="45" ht="30" customHeight="1">
      <c r="B45" s="10">
        <f>ROW()-9</f>
        <v/>
      </c>
      <c r="C45" s="31" t="inlineStr">
        <is>
          <t>전역 셸</t>
        </is>
      </c>
      <c r="D45" s="41" t="inlineStr">
        <is>
          <t>하단 내비</t>
        </is>
      </c>
      <c r="E45" s="42" t="inlineStr">
        <is>
          <t>홈 탭 재선택</t>
        </is>
      </c>
      <c r="F45" s="14" t="inlineStr">
        <is>
          <t>계정 A로 로그인해 홈 화면에서 랭킹 칩을 고르고 아래로 스크롤한 상태</t>
        </is>
      </c>
      <c r="G45" s="15" t="n">
        <v>1</v>
      </c>
      <c r="H45" s="14" t="inlineStr">
        <is>
          <t>하단 내비 홈 탭 선택한다</t>
        </is>
      </c>
      <c r="I45" s="14" t="inlineStr">
        <is>
          <t>활성 필터 칩 유지된다</t>
        </is>
      </c>
      <c r="J45" s="10" t="inlineStr">
        <is>
          <t>공통</t>
        </is>
      </c>
      <c r="K45" s="10" t="inlineStr">
        <is>
          <t>Low</t>
        </is>
      </c>
      <c r="L45" s="16">
        <f>IF(COUNTIF(M45:M45,"Fail")&gt;0,"Fail",IF(COUNTIF(M45:M45,"Blocked")&gt;0,"Blocked",IF(COUNTIF(M45:M45,"NI")&gt;0,"NI",IF(COUNTIF(M45:M45,"Pass")&gt;0,"Pass",""))))</f>
        <v/>
      </c>
      <c r="M45" s="17" t="n"/>
      <c r="N45" s="18" t="n"/>
      <c r="O45" s="18" t="n"/>
      <c r="P45" s="14" t="inlineStr">
        <is>
          <t>칩이 기본값으로 돌아가면 「돌아왔을 때 그대로인가」를 확인할 수 없습니다</t>
        </is>
      </c>
      <c r="Q45" s="10" t="inlineStr">
        <is>
          <t>TC-DSC-008</t>
        </is>
      </c>
      <c r="R45" s="10" t="inlineStr">
        <is>
          <t>결정적</t>
        </is>
      </c>
      <c r="S45" s="10" t="inlineStr">
        <is>
          <t>성인 인증</t>
        </is>
      </c>
    </row>
    <row r="46" ht="30" customHeight="1">
      <c r="B46" s="10">
        <f>ROW()-9</f>
        <v/>
      </c>
      <c r="C46" s="31" t="inlineStr">
        <is>
          <t>전역 셸</t>
        </is>
      </c>
      <c r="D46" s="41" t="inlineStr">
        <is>
          <t>하단 내비</t>
        </is>
      </c>
      <c r="E46" s="42" t="inlineStr">
        <is>
          <t>홈 탭 재선택</t>
        </is>
      </c>
      <c r="F46" s="19" t="n"/>
      <c r="G46" s="19" t="n"/>
      <c r="H46" s="19" t="n"/>
      <c r="I46" s="14" t="inlineStr">
        <is>
          <t>목록이 최상단으로 스크롤된다</t>
        </is>
      </c>
      <c r="J46" s="10" t="inlineStr">
        <is>
          <t>공통</t>
        </is>
      </c>
      <c r="K46" s="10" t="inlineStr">
        <is>
          <t>Low</t>
        </is>
      </c>
      <c r="L46" s="16">
        <f>IF(COUNTIF(M46:M46,"Fail")&gt;0,"Fail",IF(COUNTIF(M46:M46,"Blocked")&gt;0,"Blocked",IF(COUNTIF(M46:M46,"NI")&gt;0,"NI",IF(COUNTIF(M46:M46,"Pass")&gt;0,"Pass",""))))</f>
        <v/>
      </c>
      <c r="M46" s="17" t="n"/>
      <c r="N46" s="18" t="n"/>
      <c r="O46" s="18" t="n"/>
      <c r="P46" s="19" t="n"/>
      <c r="Q46" s="10" t="inlineStr">
        <is>
          <t>TC-DSC-008</t>
        </is>
      </c>
      <c r="R46" s="10" t="inlineStr">
        <is>
          <t>결정적</t>
        </is>
      </c>
      <c r="S46" s="10" t="inlineStr">
        <is>
          <t>성인 인증</t>
        </is>
      </c>
    </row>
    <row r="47" ht="30" customHeight="1">
      <c r="B47" s="10">
        <f>ROW()-9</f>
        <v/>
      </c>
      <c r="C47" s="31" t="inlineStr">
        <is>
          <t>전역 셸</t>
        </is>
      </c>
      <c r="D47" s="41" t="inlineStr">
        <is>
          <t>하단 내비</t>
        </is>
      </c>
      <c r="E47" s="43" t="inlineStr">
        <is>
          <t>미로그인 채팅 탭 차단</t>
        </is>
      </c>
      <c r="F47" s="14" t="inlineStr">
        <is>
          <t>미로그인 상태</t>
        </is>
      </c>
      <c r="G47" s="15" t="n">
        <v>1</v>
      </c>
      <c r="H47" s="14" t="inlineStr">
        <is>
          <t>하단 내비 채팅 탭 선택한다</t>
        </is>
      </c>
      <c r="I47" s="14" t="inlineStr">
        <is>
          <t>채팅 탭 열리지 않는다</t>
        </is>
      </c>
      <c r="J47" s="10" t="inlineStr">
        <is>
          <t>공통</t>
        </is>
      </c>
      <c r="K47" s="10" t="inlineStr">
        <is>
          <t>High</t>
        </is>
      </c>
      <c r="L47" s="16">
        <f>IF(COUNTIF(M47:M47,"Fail")&gt;0,"Fail",IF(COUNTIF(M47:M47,"Blocked")&gt;0,"Blocked",IF(COUNTIF(M47:M47,"NI")&gt;0,"NI",IF(COUNTIF(M47:M47,"Pass")&gt;0,"Pass",""))))</f>
        <v/>
      </c>
      <c r="M47" s="17" t="n"/>
      <c r="N47" s="18" t="n"/>
      <c r="O47" s="18" t="n"/>
      <c r="P47" s="14" t="inlineStr">
        <is>
          <t>셸 안에서 막히는 경우라 로그인 화면이 아니라 모달이 뜨고 뒤 화면은 그대로 남습니다(system-spec §1-1)</t>
        </is>
      </c>
      <c r="Q47" s="10" t="inlineStr">
        <is>
          <t>TC-GAT-008</t>
        </is>
      </c>
      <c r="R47" s="10" t="inlineStr">
        <is>
          <t>금칙</t>
        </is>
      </c>
      <c r="S47" s="10" t="inlineStr">
        <is>
          <t>미로그인</t>
        </is>
      </c>
    </row>
    <row r="48" ht="30" customHeight="1">
      <c r="B48" s="10">
        <f>ROW()-9</f>
        <v/>
      </c>
      <c r="C48" s="31" t="inlineStr">
        <is>
          <t>전역 셸</t>
        </is>
      </c>
      <c r="D48" s="41" t="inlineStr">
        <is>
          <t>하단 내비</t>
        </is>
      </c>
      <c r="E48" s="43" t="inlineStr">
        <is>
          <t>미로그인 채팅 탭 차단</t>
        </is>
      </c>
      <c r="F48" s="19" t="n"/>
      <c r="G48" s="19" t="n"/>
      <c r="H48" s="19" t="n"/>
      <c r="I48" s="14" t="inlineStr">
        <is>
          <t>로그인 모달 노출된다</t>
        </is>
      </c>
      <c r="J48" s="10" t="inlineStr">
        <is>
          <t>공통</t>
        </is>
      </c>
      <c r="K48" s="10" t="inlineStr">
        <is>
          <t>High</t>
        </is>
      </c>
      <c r="L48" s="16">
        <f>IF(COUNTIF(M48:M48,"Fail")&gt;0,"Fail",IF(COUNTIF(M48:M48,"Blocked")&gt;0,"Blocked",IF(COUNTIF(M48:M48,"NI")&gt;0,"NI",IF(COUNTIF(M48:M48,"Pass")&gt;0,"Pass",""))))</f>
        <v/>
      </c>
      <c r="M48" s="17" t="n"/>
      <c r="N48" s="18" t="n"/>
      <c r="O48" s="18" t="n"/>
      <c r="P48" s="19" t="n"/>
      <c r="Q48" s="10" t="inlineStr">
        <is>
          <t>TC-GAT-008</t>
        </is>
      </c>
      <c r="R48" s="10" t="inlineStr">
        <is>
          <t>금칙</t>
        </is>
      </c>
      <c r="S48" s="10" t="inlineStr">
        <is>
          <t>미로그인</t>
        </is>
      </c>
    </row>
    <row r="49" ht="30" customHeight="1">
      <c r="B49" s="10">
        <f>ROW()-9</f>
        <v/>
      </c>
      <c r="C49" s="31" t="inlineStr">
        <is>
          <t>전역 셸</t>
        </is>
      </c>
      <c r="D49" s="41" t="inlineStr">
        <is>
          <t>하단 내비</t>
        </is>
      </c>
      <c r="E49" s="44" t="inlineStr">
        <is>
          <t>미로그인 MY 탭 차단</t>
        </is>
      </c>
      <c r="F49" s="14" t="inlineStr">
        <is>
          <t>미로그인 상태</t>
        </is>
      </c>
      <c r="G49" s="15" t="n">
        <v>1</v>
      </c>
      <c r="H49" s="14" t="inlineStr">
        <is>
          <t>하단 내비 MY 탭 선택한다</t>
        </is>
      </c>
      <c r="I49" s="14" t="inlineStr">
        <is>
          <t>MY 탭 열리지 않는다</t>
        </is>
      </c>
      <c r="J49" s="10" t="inlineStr">
        <is>
          <t>공통</t>
        </is>
      </c>
      <c r="K49" s="10" t="inlineStr">
        <is>
          <t>High</t>
        </is>
      </c>
      <c r="L49" s="16">
        <f>IF(COUNTIF(M49:M49,"Fail")&gt;0,"Fail",IF(COUNTIF(M49:M49,"Blocked")&gt;0,"Blocked",IF(COUNTIF(M49:M49,"NI")&gt;0,"NI",IF(COUNTIF(M49:M49,"Pass")&gt;0,"Pass",""))))</f>
        <v/>
      </c>
      <c r="M49" s="17" t="n"/>
      <c r="N49" s="18" t="n"/>
      <c r="O49" s="18" t="n"/>
      <c r="P49" s="14" t="inlineStr">
        <is>
          <t>탭마다 케이스를 나눈 것은 하나만 뚫렸을 때 어느 탭인지 TC ID로 읽히게 하기 위해서입니다</t>
        </is>
      </c>
      <c r="Q49" s="10" t="inlineStr">
        <is>
          <t>TC-GAT-009</t>
        </is>
      </c>
      <c r="R49" s="10" t="inlineStr">
        <is>
          <t>금칙</t>
        </is>
      </c>
      <c r="S49" s="10" t="inlineStr">
        <is>
          <t>미로그인</t>
        </is>
      </c>
    </row>
    <row r="50" ht="30" customHeight="1">
      <c r="B50" s="10">
        <f>ROW()-9</f>
        <v/>
      </c>
      <c r="C50" s="31" t="inlineStr">
        <is>
          <t>전역 셸</t>
        </is>
      </c>
      <c r="D50" s="41" t="inlineStr">
        <is>
          <t>하단 내비</t>
        </is>
      </c>
      <c r="E50" s="44" t="inlineStr">
        <is>
          <t>미로그인 MY 탭 차단</t>
        </is>
      </c>
      <c r="F50" s="19" t="n"/>
      <c r="G50" s="19" t="n"/>
      <c r="H50" s="19" t="n"/>
      <c r="I50" s="14" t="inlineStr">
        <is>
          <t>로그인 모달 노출된다</t>
        </is>
      </c>
      <c r="J50" s="10" t="inlineStr">
        <is>
          <t>공통</t>
        </is>
      </c>
      <c r="K50" s="10" t="inlineStr">
        <is>
          <t>High</t>
        </is>
      </c>
      <c r="L50" s="16">
        <f>IF(COUNTIF(M50:M50,"Fail")&gt;0,"Fail",IF(COUNTIF(M50:M50,"Blocked")&gt;0,"Blocked",IF(COUNTIF(M50:M50,"NI")&gt;0,"NI",IF(COUNTIF(M50:M50,"Pass")&gt;0,"Pass",""))))</f>
        <v/>
      </c>
      <c r="M50" s="17" t="n"/>
      <c r="N50" s="18" t="n"/>
      <c r="O50" s="18" t="n"/>
      <c r="P50" s="19" t="n"/>
      <c r="Q50" s="10" t="inlineStr">
        <is>
          <t>TC-GAT-009</t>
        </is>
      </c>
      <c r="R50" s="10" t="inlineStr">
        <is>
          <t>금칙</t>
        </is>
      </c>
      <c r="S50" s="10" t="inlineStr">
        <is>
          <t>미로그인</t>
        </is>
      </c>
    </row>
    <row r="51" ht="30" customHeight="1">
      <c r="B51" s="10">
        <f>ROW()-9</f>
        <v/>
      </c>
      <c r="C51" s="31" t="inlineStr">
        <is>
          <t>전역 셸</t>
        </is>
      </c>
      <c r="D51" s="41" t="inlineStr">
        <is>
          <t>하단 내비</t>
        </is>
      </c>
      <c r="E51" s="45" t="inlineStr">
        <is>
          <t>미로그인 내 작품 탭 차단</t>
        </is>
      </c>
      <c r="F51" s="14" t="inlineStr">
        <is>
          <t>미로그인 상태</t>
        </is>
      </c>
      <c r="G51" s="15" t="n">
        <v>1</v>
      </c>
      <c r="H51" s="14" t="inlineStr">
        <is>
          <t>하단 내비 내 작품 탭 선택한다</t>
        </is>
      </c>
      <c r="I51" s="14" t="inlineStr">
        <is>
          <t>내 작품 탭 열리지 않는다</t>
        </is>
      </c>
      <c r="J51" s="10" t="inlineStr">
        <is>
          <t>공통</t>
        </is>
      </c>
      <c r="K51" s="10" t="inlineStr">
        <is>
          <t>High</t>
        </is>
      </c>
      <c r="L51" s="16">
        <f>IF(COUNTIF(M51:M51,"Fail")&gt;0,"Fail",IF(COUNTIF(M51:M51,"Blocked")&gt;0,"Blocked",IF(COUNTIF(M51:M51,"NI")&gt;0,"NI",IF(COUNTIF(M51:M51,"Pass")&gt;0,"Pass",""))))</f>
        <v/>
      </c>
      <c r="M51" s="17" t="n"/>
      <c r="N51" s="18" t="n"/>
      <c r="O51" s="18" t="n"/>
      <c r="P51" s="14" t="inlineStr">
        <is>
          <t>내 작품 탭은 스텁이지만 로그인 필요 화면이라 차단은 걸립니다</t>
        </is>
      </c>
      <c r="Q51" s="10" t="inlineStr">
        <is>
          <t>TC-GAT-010</t>
        </is>
      </c>
      <c r="R51" s="10" t="inlineStr">
        <is>
          <t>금칙</t>
        </is>
      </c>
      <c r="S51" s="10" t="inlineStr">
        <is>
          <t>미로그인</t>
        </is>
      </c>
    </row>
    <row r="52" ht="30" customHeight="1">
      <c r="B52" s="10">
        <f>ROW()-9</f>
        <v/>
      </c>
      <c r="C52" s="31" t="inlineStr">
        <is>
          <t>전역 셸</t>
        </is>
      </c>
      <c r="D52" s="41" t="inlineStr">
        <is>
          <t>하단 내비</t>
        </is>
      </c>
      <c r="E52" s="45" t="inlineStr">
        <is>
          <t>미로그인 내 작품 탭 차단</t>
        </is>
      </c>
      <c r="F52" s="19" t="n"/>
      <c r="G52" s="19" t="n"/>
      <c r="H52" s="19" t="n"/>
      <c r="I52" s="14" t="inlineStr">
        <is>
          <t>로그인 모달 노출된다</t>
        </is>
      </c>
      <c r="J52" s="10" t="inlineStr">
        <is>
          <t>공통</t>
        </is>
      </c>
      <c r="K52" s="10" t="inlineStr">
        <is>
          <t>High</t>
        </is>
      </c>
      <c r="L52" s="16">
        <f>IF(COUNTIF(M52:M52,"Fail")&gt;0,"Fail",IF(COUNTIF(M52:M52,"Blocked")&gt;0,"Blocked",IF(COUNTIF(M52:M52,"NI")&gt;0,"NI",IF(COUNTIF(M52:M52,"Pass")&gt;0,"Pass",""))))</f>
        <v/>
      </c>
      <c r="M52" s="17" t="n"/>
      <c r="N52" s="18" t="n"/>
      <c r="O52" s="18" t="n"/>
      <c r="P52" s="19" t="n"/>
      <c r="Q52" s="10" t="inlineStr">
        <is>
          <t>TC-GAT-010</t>
        </is>
      </c>
      <c r="R52" s="10" t="inlineStr">
        <is>
          <t>금칙</t>
        </is>
      </c>
      <c r="S52" s="10" t="inlineStr">
        <is>
          <t>미로그인</t>
        </is>
      </c>
    </row>
    <row r="53" ht="30" customHeight="1">
      <c r="B53" s="10">
        <f>ROW()-9</f>
        <v/>
      </c>
      <c r="C53" s="31" t="inlineStr">
        <is>
          <t>전역 셸</t>
        </is>
      </c>
      <c r="D53" s="41" t="inlineStr">
        <is>
          <t>하단 내비</t>
        </is>
      </c>
      <c r="E53" s="46" t="inlineStr">
        <is>
          <t>미로그인 커뮤니티 탭 통과</t>
        </is>
      </c>
      <c r="F53" s="14" t="inlineStr">
        <is>
          <t>미로그인 상태</t>
        </is>
      </c>
      <c r="G53" s="15" t="n">
        <v>1</v>
      </c>
      <c r="H53" s="14" t="inlineStr">
        <is>
          <t>하단 내비 커뮤니티 탭 선택한다</t>
        </is>
      </c>
      <c r="I53" s="14" t="inlineStr">
        <is>
          <t>커뮤니티 탭 노출된다</t>
        </is>
      </c>
      <c r="J53" s="10" t="inlineStr">
        <is>
          <t>공통</t>
        </is>
      </c>
      <c r="K53" s="10" t="inlineStr">
        <is>
          <t>Medium</t>
        </is>
      </c>
      <c r="L53" s="16">
        <f>IF(COUNTIF(M53:M53,"Fail")&gt;0,"Fail",IF(COUNTIF(M53:M53,"Blocked")&gt;0,"Blocked",IF(COUNTIF(M53:M53,"NI")&gt;0,"NI",IF(COUNTIF(M53:M53,"Pass")&gt;0,"Pass",""))))</f>
        <v/>
      </c>
      <c r="M53" s="17" t="n"/>
      <c r="N53" s="18" t="n"/>
      <c r="O53" s="18" t="n"/>
      <c r="P53" s="14" t="inlineStr">
        <is>
          <t>차단이 공개 탭까지 과하게 걸리지 않는지를 보는 자리라 위 차단 케이스들과 함께 읽습니다</t>
        </is>
      </c>
      <c r="Q53" s="10" t="inlineStr">
        <is>
          <t>TC-DSC-009</t>
        </is>
      </c>
      <c r="R53" s="10" t="inlineStr">
        <is>
          <t>결정적</t>
        </is>
      </c>
      <c r="S53" s="10" t="inlineStr">
        <is>
          <t>미로그인</t>
        </is>
      </c>
    </row>
    <row r="54" ht="30" customHeight="1">
      <c r="B54" s="10">
        <f>ROW()-9</f>
        <v/>
      </c>
      <c r="C54" s="31" t="inlineStr">
        <is>
          <t>전역 셸</t>
        </is>
      </c>
      <c r="D54" s="41" t="inlineStr">
        <is>
          <t>하단 내비</t>
        </is>
      </c>
      <c r="E54" s="46" t="inlineStr">
        <is>
          <t>미로그인 커뮤니티 탭 통과</t>
        </is>
      </c>
      <c r="F54" s="19" t="n"/>
      <c r="G54" s="19" t="n"/>
      <c r="H54" s="19" t="n"/>
      <c r="I54" s="14" t="inlineStr">
        <is>
          <t>로그인 모달 노출되지 않는다</t>
        </is>
      </c>
      <c r="J54" s="10" t="inlineStr">
        <is>
          <t>공통</t>
        </is>
      </c>
      <c r="K54" s="10" t="inlineStr">
        <is>
          <t>Medium</t>
        </is>
      </c>
      <c r="L54" s="16">
        <f>IF(COUNTIF(M54:M54,"Fail")&gt;0,"Fail",IF(COUNTIF(M54:M54,"Blocked")&gt;0,"Blocked",IF(COUNTIF(M54:M54,"NI")&gt;0,"NI",IF(COUNTIF(M54:M54,"Pass")&gt;0,"Pass",""))))</f>
        <v/>
      </c>
      <c r="M54" s="17" t="n"/>
      <c r="N54" s="18" t="n"/>
      <c r="O54" s="18" t="n"/>
      <c r="P54" s="19" t="n"/>
      <c r="Q54" s="10" t="inlineStr">
        <is>
          <t>TC-DSC-009</t>
        </is>
      </c>
      <c r="R54" s="10" t="inlineStr">
        <is>
          <t>결정적</t>
        </is>
      </c>
      <c r="S54" s="10" t="inlineStr">
        <is>
          <t>미로그인</t>
        </is>
      </c>
    </row>
    <row r="55" ht="30" customHeight="1">
      <c r="B55" s="10">
        <f>ROW()-9</f>
        <v/>
      </c>
      <c r="C55" s="31" t="inlineStr">
        <is>
          <t>전역 셸</t>
        </is>
      </c>
      <c r="D55" s="47" t="inlineStr">
        <is>
          <t>로그인 모달</t>
        </is>
      </c>
      <c r="E55" s="48" t="inlineStr">
        <is>
          <t>막힌 동작 이어받기</t>
        </is>
      </c>
      <c r="F55" s="14" t="inlineStr">
        <is>
          <t>미로그인 상태에서 채팅 탭이 막혀 로그인 모달이 뜬 상태</t>
        </is>
      </c>
      <c r="G55" s="15" t="n">
        <v>1</v>
      </c>
      <c r="H55" s="14" t="inlineStr">
        <is>
          <t>로그인 모달에서 계정 A 선택한다</t>
        </is>
      </c>
      <c r="I55" s="14" t="inlineStr">
        <is>
          <t>로그인 모달 닫힌다</t>
        </is>
      </c>
      <c r="J55" s="10" t="inlineStr">
        <is>
          <t>공통</t>
        </is>
      </c>
      <c r="K55" s="10" t="inlineStr">
        <is>
          <t>High</t>
        </is>
      </c>
      <c r="L55" s="16">
        <f>IF(COUNTIF(M55:M55,"Fail")&gt;0,"Fail",IF(COUNTIF(M55:M55,"Blocked")&gt;0,"Blocked",IF(COUNTIF(M55:M55,"NI")&gt;0,"NI",IF(COUNTIF(M55:M55,"Pass")&gt;0,"Pass",""))))</f>
        <v/>
      </c>
      <c r="M55" s="17" t="n"/>
      <c r="N55" s="18" t="n"/>
      <c r="O55" s="18" t="n"/>
      <c r="P55" s="14" t="inlineStr">
        <is>
          <t>막을 때는 아무것도 수행하지 않고 풀리면 그때 수행한다는 규칙의 짝입니다(system-spec §1-1)</t>
        </is>
      </c>
      <c r="Q55" s="10" t="inlineStr">
        <is>
          <t>TC-ENT-006</t>
        </is>
      </c>
      <c r="R55" s="10" t="inlineStr">
        <is>
          <t>결정적</t>
        </is>
      </c>
      <c r="S55" s="10" t="inlineStr">
        <is>
          <t>미로그인, 성인 인증</t>
        </is>
      </c>
    </row>
    <row r="56" ht="30" customHeight="1">
      <c r="B56" s="10">
        <f>ROW()-9</f>
        <v/>
      </c>
      <c r="C56" s="31" t="inlineStr">
        <is>
          <t>전역 셸</t>
        </is>
      </c>
      <c r="D56" s="47" t="inlineStr">
        <is>
          <t>로그인 모달</t>
        </is>
      </c>
      <c r="E56" s="48" t="inlineStr">
        <is>
          <t>막힌 동작 이어받기</t>
        </is>
      </c>
      <c r="F56" s="19" t="n"/>
      <c r="G56" s="19" t="n"/>
      <c r="H56" s="19" t="n"/>
      <c r="I56" s="14" t="inlineStr">
        <is>
          <t>막혔던 채팅 탭 열린다</t>
        </is>
      </c>
      <c r="J56" s="10" t="inlineStr">
        <is>
          <t>공통</t>
        </is>
      </c>
      <c r="K56" s="10" t="inlineStr">
        <is>
          <t>High</t>
        </is>
      </c>
      <c r="L56" s="16">
        <f>IF(COUNTIF(M56:M56,"Fail")&gt;0,"Fail",IF(COUNTIF(M56:M56,"Blocked")&gt;0,"Blocked",IF(COUNTIF(M56:M56,"NI")&gt;0,"NI",IF(COUNTIF(M56:M56,"Pass")&gt;0,"Pass",""))))</f>
        <v/>
      </c>
      <c r="M56" s="17" t="n"/>
      <c r="N56" s="18" t="n"/>
      <c r="O56" s="18" t="n"/>
      <c r="P56" s="19" t="n"/>
      <c r="Q56" s="10" t="inlineStr">
        <is>
          <t>TC-ENT-006</t>
        </is>
      </c>
      <c r="R56" s="10" t="inlineStr">
        <is>
          <t>결정적</t>
        </is>
      </c>
      <c r="S56" s="10" t="inlineStr">
        <is>
          <t>미로그인, 성인 인증</t>
        </is>
      </c>
    </row>
    <row r="57" ht="30" customHeight="1">
      <c r="B57" s="10">
        <f>ROW()-9</f>
        <v/>
      </c>
      <c r="C57" s="31" t="inlineStr">
        <is>
          <t>전역 셸</t>
        </is>
      </c>
      <c r="D57" s="47" t="inlineStr">
        <is>
          <t>로그인 모달</t>
        </is>
      </c>
      <c r="E57" s="49" t="inlineStr">
        <is>
          <t>로그인 모달 닫기</t>
        </is>
      </c>
      <c r="F57" s="14" t="inlineStr">
        <is>
          <t>미로그인 상태에서 채팅 탭이 막혀 로그인 모달이 뜬 상태</t>
        </is>
      </c>
      <c r="G57" s="15" t="n">
        <v>1</v>
      </c>
      <c r="H57" s="14" t="inlineStr">
        <is>
          <t>로그인 모달 닫기 선택한다</t>
        </is>
      </c>
      <c r="I57" s="14" t="inlineStr">
        <is>
          <t>로그인 모달 닫힌다</t>
        </is>
      </c>
      <c r="J57" s="10" t="inlineStr">
        <is>
          <t>공통</t>
        </is>
      </c>
      <c r="K57" s="10" t="inlineStr">
        <is>
          <t>Medium</t>
        </is>
      </c>
      <c r="L57" s="16">
        <f>IF(COUNTIF(M57:M57,"Fail")&gt;0,"Fail",IF(COUNTIF(M57:M57,"Blocked")&gt;0,"Blocked",IF(COUNTIF(M57:M57,"NI")&gt;0,"NI",IF(COUNTIF(M57:M57,"Pass")&gt;0,"Pass",""))))</f>
        <v/>
      </c>
      <c r="M57" s="17" t="n"/>
      <c r="N57" s="18" t="n"/>
      <c r="O57" s="18" t="n"/>
      <c r="P57" s="14" t="inlineStr">
        <is>
          <t>모달은 뒤 화면을 살려 두므로 닫으면 제자리입니다. 막힌 동작이 몰래 수행되지 않았는지도 함께 봅니다</t>
        </is>
      </c>
      <c r="Q57" s="10" t="inlineStr">
        <is>
          <t>TC-ENT-007</t>
        </is>
      </c>
      <c r="R57" s="10" t="inlineStr">
        <is>
          <t>결정적</t>
        </is>
      </c>
      <c r="S57" s="10" t="inlineStr">
        <is>
          <t>미로그인</t>
        </is>
      </c>
    </row>
    <row r="58" ht="30" customHeight="1">
      <c r="B58" s="10">
        <f>ROW()-9</f>
        <v/>
      </c>
      <c r="C58" s="31" t="inlineStr">
        <is>
          <t>전역 셸</t>
        </is>
      </c>
      <c r="D58" s="47" t="inlineStr">
        <is>
          <t>로그인 모달</t>
        </is>
      </c>
      <c r="E58" s="49" t="inlineStr">
        <is>
          <t>로그인 모달 닫기</t>
        </is>
      </c>
      <c r="F58" s="50" t="n"/>
      <c r="G58" s="50" t="n"/>
      <c r="H58" s="50" t="n"/>
      <c r="I58" s="14" t="inlineStr">
        <is>
          <t>모달이 뜨기 전 보던 화면 유지된다</t>
        </is>
      </c>
      <c r="J58" s="10" t="inlineStr">
        <is>
          <t>공통</t>
        </is>
      </c>
      <c r="K58" s="10" t="inlineStr">
        <is>
          <t>Medium</t>
        </is>
      </c>
      <c r="L58" s="16">
        <f>IF(COUNTIF(M58:M58,"Fail")&gt;0,"Fail",IF(COUNTIF(M58:M58,"Blocked")&gt;0,"Blocked",IF(COUNTIF(M58:M58,"NI")&gt;0,"NI",IF(COUNTIF(M58:M58,"Pass")&gt;0,"Pass",""))))</f>
        <v/>
      </c>
      <c r="M58" s="17" t="n"/>
      <c r="N58" s="18" t="n"/>
      <c r="O58" s="18" t="n"/>
      <c r="P58" s="50" t="n"/>
      <c r="Q58" s="10" t="inlineStr">
        <is>
          <t>TC-ENT-007</t>
        </is>
      </c>
      <c r="R58" s="10" t="inlineStr">
        <is>
          <t>결정적</t>
        </is>
      </c>
      <c r="S58" s="10" t="inlineStr">
        <is>
          <t>미로그인</t>
        </is>
      </c>
    </row>
    <row r="59" ht="30" customHeight="1">
      <c r="B59" s="10">
        <f>ROW()-9</f>
        <v/>
      </c>
      <c r="C59" s="31" t="inlineStr">
        <is>
          <t>전역 셸</t>
        </is>
      </c>
      <c r="D59" s="47" t="inlineStr">
        <is>
          <t>로그인 모달</t>
        </is>
      </c>
      <c r="E59" s="49" t="inlineStr">
        <is>
          <t>로그인 모달 닫기</t>
        </is>
      </c>
      <c r="F59" s="19" t="n"/>
      <c r="G59" s="19" t="n"/>
      <c r="H59" s="19" t="n"/>
      <c r="I59" s="14" t="inlineStr">
        <is>
          <t>채팅 탭 열리지 않는다</t>
        </is>
      </c>
      <c r="J59" s="10" t="inlineStr">
        <is>
          <t>공통</t>
        </is>
      </c>
      <c r="K59" s="10" t="inlineStr">
        <is>
          <t>Medium</t>
        </is>
      </c>
      <c r="L59" s="16">
        <f>IF(COUNTIF(M59:M59,"Fail")&gt;0,"Fail",IF(COUNTIF(M59:M59,"Blocked")&gt;0,"Blocked",IF(COUNTIF(M59:M59,"NI")&gt;0,"NI",IF(COUNTIF(M59:M59,"Pass")&gt;0,"Pass",""))))</f>
        <v/>
      </c>
      <c r="M59" s="17" t="n"/>
      <c r="N59" s="18" t="n"/>
      <c r="O59" s="18" t="n"/>
      <c r="P59" s="19" t="n"/>
      <c r="Q59" s="10" t="inlineStr">
        <is>
          <t>TC-ENT-007</t>
        </is>
      </c>
      <c r="R59" s="10" t="inlineStr">
        <is>
          <t>결정적</t>
        </is>
      </c>
      <c r="S59" s="10" t="inlineStr">
        <is>
          <t>미로그인</t>
        </is>
      </c>
    </row>
  </sheetData>
  <autoFilter ref="B4:S59"/>
  <mergeCells count="104">
    <mergeCell ref="F53:F54"/>
    <mergeCell ref="H53:H54"/>
    <mergeCell ref="L9"/>
    <mergeCell ref="P22:P23"/>
    <mergeCell ref="N3:N4"/>
    <mergeCell ref="P34:P35"/>
    <mergeCell ref="F3:F4"/>
    <mergeCell ref="F55:F56"/>
    <mergeCell ref="B6:K6"/>
    <mergeCell ref="H55:H56"/>
    <mergeCell ref="H11:H12"/>
    <mergeCell ref="H34:H35"/>
    <mergeCell ref="F45:F46"/>
    <mergeCell ref="G3:G4"/>
    <mergeCell ref="I3:I4"/>
    <mergeCell ref="H36:H37"/>
    <mergeCell ref="H45:H46"/>
    <mergeCell ref="F47:F48"/>
    <mergeCell ref="G49:G50"/>
    <mergeCell ref="H47:H48"/>
    <mergeCell ref="G51:G52"/>
    <mergeCell ref="G22:G23"/>
    <mergeCell ref="B8:K8"/>
    <mergeCell ref="L8"/>
    <mergeCell ref="O3:O4"/>
    <mergeCell ref="Q3:Q4"/>
    <mergeCell ref="P57:P59"/>
    <mergeCell ref="S3:S4"/>
    <mergeCell ref="F34:F35"/>
    <mergeCell ref="G36:G37"/>
    <mergeCell ref="P25:P26"/>
    <mergeCell ref="H57:H59"/>
    <mergeCell ref="F40:F41"/>
    <mergeCell ref="P51:P52"/>
    <mergeCell ref="H43:H44"/>
    <mergeCell ref="B9:K9"/>
    <mergeCell ref="B3:B4"/>
    <mergeCell ref="F36:F37"/>
    <mergeCell ref="H49:H50"/>
    <mergeCell ref="B5:K5"/>
    <mergeCell ref="P11:P12"/>
    <mergeCell ref="H17:H18"/>
    <mergeCell ref="F22:F23"/>
    <mergeCell ref="H22:H23"/>
    <mergeCell ref="D3:D4"/>
    <mergeCell ref="P36:P37"/>
    <mergeCell ref="H19:H20"/>
    <mergeCell ref="P53:P54"/>
    <mergeCell ref="F2:S2"/>
    <mergeCell ref="G57:G59"/>
    <mergeCell ref="P47:P48"/>
    <mergeCell ref="G25:G26"/>
    <mergeCell ref="L5"/>
    <mergeCell ref="H14:H15"/>
    <mergeCell ref="G27:G28"/>
    <mergeCell ref="K3:K4"/>
    <mergeCell ref="C3:C4"/>
    <mergeCell ref="E3:E4"/>
    <mergeCell ref="G11:G12"/>
    <mergeCell ref="M3"/>
    <mergeCell ref="H29:H30"/>
    <mergeCell ref="P40:P41"/>
    <mergeCell ref="H40:H41"/>
    <mergeCell ref="P49:P50"/>
    <mergeCell ref="P27:P28"/>
    <mergeCell ref="G53:G54"/>
    <mergeCell ref="F51:F52"/>
    <mergeCell ref="N5:S9"/>
    <mergeCell ref="H51:H52"/>
    <mergeCell ref="P17:P18"/>
    <mergeCell ref="G55:G56"/>
    <mergeCell ref="P19:P20"/>
    <mergeCell ref="F43:F44"/>
    <mergeCell ref="P3:P4"/>
    <mergeCell ref="L3"/>
    <mergeCell ref="H3:H4"/>
    <mergeCell ref="R3:R4"/>
    <mergeCell ref="J3:J4"/>
    <mergeCell ref="B2:E2"/>
    <mergeCell ref="F49:F50"/>
    <mergeCell ref="F29:F30"/>
    <mergeCell ref="P14:P15"/>
    <mergeCell ref="P55:P56"/>
    <mergeCell ref="P45:P46"/>
    <mergeCell ref="G43:G44"/>
    <mergeCell ref="G17:G18"/>
    <mergeCell ref="F25:F26"/>
    <mergeCell ref="L6"/>
    <mergeCell ref="G19:G20"/>
    <mergeCell ref="G34:G35"/>
    <mergeCell ref="F57:F59"/>
    <mergeCell ref="B7:K7"/>
    <mergeCell ref="L7"/>
    <mergeCell ref="G14:G15"/>
    <mergeCell ref="G29:G30"/>
    <mergeCell ref="F27:F28"/>
    <mergeCell ref="H27:H28"/>
    <mergeCell ref="G45:G46"/>
    <mergeCell ref="P43:P44"/>
    <mergeCell ref="H25:H26"/>
    <mergeCell ref="F19:F20"/>
    <mergeCell ref="G47:G48"/>
    <mergeCell ref="P29:P30"/>
    <mergeCell ref="G40:G41"/>
  </mergeCells>
  <conditionalFormatting sqref="M10:M50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"NI"</formula>
    </cfRule>
    <cfRule type="cellIs" priority="4" operator="equal" dxfId="3">
      <formula>"Blocked"</formula>
    </cfRule>
  </conditionalFormatting>
  <conditionalFormatting sqref="L10:L500">
    <cfRule type="cellIs" priority="5" operator="equal" dxfId="0">
      <formula>"Pass"</formula>
    </cfRule>
    <cfRule type="cellIs" priority="6" operator="equal" dxfId="1">
      <formula>"Fail"</formula>
    </cfRule>
    <cfRule type="cellIs" priority="7" operator="equal" dxfId="2">
      <formula>"NI"</formula>
    </cfRule>
    <cfRule type="cellIs" priority="8" operator="equal" dxfId="3">
      <formula>"Blocked"</formula>
    </cfRule>
  </conditionalFormatting>
  <conditionalFormatting sqref="K10:K500">
    <cfRule type="cellIs" priority="9" operator="equal" dxfId="1">
      <formula>"High"</formula>
    </cfRule>
    <cfRule type="cellIs" priority="10" operator="equal" dxfId="4">
      <formula>"Medium"</formula>
    </cfRule>
    <cfRule type="cellIs" priority="11" operator="equal" dxfId="2">
      <formula>"Low"</formula>
    </cfRule>
  </conditionalFormatting>
  <dataValidations count="4">
    <dataValidation sqref="M10:M500" showDropDown="0" showInputMessage="0" showErrorMessage="0" allowBlank="1" type="list">
      <formula1>"Pass,Fail,NI,Blocked"</formula1>
    </dataValidation>
    <dataValidation sqref="K10:K500" showDropDown="0" showInputMessage="0" showErrorMessage="0" allowBlank="1" type="list">
      <formula1>"High,Medium,Low"</formula1>
    </dataValidation>
    <dataValidation sqref="J10:J500" showDropDown="0" showInputMessage="0" showErrorMessage="0" allowBlank="1" type="list">
      <formula1>"자동화 전용,공통,사람 전용"</formula1>
    </dataValidation>
    <dataValidation sqref="R10:R500" showDropDown="0" showInputMessage="0" showErrorMessage="0" allowBlank="1" type="list">
      <formula1>"결정적,확률적,루브릭,금칙"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2" ht="19" customHeight="1">
      <c r="B2" s="51" t="inlineStr">
        <is>
          <t>커버리지 요약</t>
        </is>
      </c>
    </row>
    <row r="3">
      <c r="B3" s="52" t="inlineStr">
        <is>
          <t>Test Case 시트를 참조하는 수식으로 자동 집계됩니다. 행을 추가하면 아래 범위를 넓히세요.</t>
        </is>
      </c>
    </row>
    <row r="4">
      <c r="B4" s="53" t="inlineStr">
        <is>
          <t>기준 골격 버전</t>
        </is>
      </c>
      <c r="C4" s="54" t="inlineStr">
        <is>
          <t>qa-lab-miyonchat-tree-v1.12</t>
        </is>
      </c>
      <c r="D4" s="55" t="n"/>
      <c r="E4" s="55" t="n"/>
    </row>
    <row r="5">
      <c r="B5" s="56" t="inlineStr">
        <is>
          <t>1-Depth (영역)</t>
        </is>
      </c>
      <c r="C5" s="56" t="inlineStr">
        <is>
          <t>TC 수</t>
        </is>
      </c>
      <c r="D5" s="56" t="inlineStr">
        <is>
          <t>Priority</t>
        </is>
      </c>
      <c r="E5" s="55" t="n"/>
      <c r="F5" s="55" t="n"/>
      <c r="G5" s="56" t="inlineStr">
        <is>
          <t>Web</t>
        </is>
      </c>
      <c r="H5" s="55" t="n"/>
      <c r="I5" s="55" t="n"/>
      <c r="J5" s="55" t="n"/>
      <c r="K5" s="55" t="n"/>
    </row>
    <row r="6">
      <c r="B6" s="55" t="n"/>
      <c r="C6" s="55" t="n"/>
      <c r="D6" s="57" t="inlineStr">
        <is>
          <t>High</t>
        </is>
      </c>
      <c r="E6" s="57" t="inlineStr">
        <is>
          <t>Medium</t>
        </is>
      </c>
      <c r="F6" s="57" t="inlineStr">
        <is>
          <t>Low</t>
        </is>
      </c>
      <c r="G6" s="57" t="inlineStr">
        <is>
          <t>Pass</t>
        </is>
      </c>
      <c r="H6" s="57" t="inlineStr">
        <is>
          <t>Fail</t>
        </is>
      </c>
      <c r="I6" s="57" t="inlineStr">
        <is>
          <t>Blocked</t>
        </is>
      </c>
      <c r="J6" s="57" t="inlineStr">
        <is>
          <t>Pass율</t>
        </is>
      </c>
      <c r="K6" s="55" t="n"/>
    </row>
    <row r="7">
      <c r="B7" s="58" t="inlineStr">
        <is>
          <t>웹 진입</t>
        </is>
      </c>
      <c r="C7" s="59">
        <f>COUNTIF('Test Case'!$C$10:$C$500,$B7)</f>
        <v/>
      </c>
      <c r="D7" s="59">
        <f>COUNTIFS('Test Case'!$C$10:$C$500,$B7,'Test Case'!$K$10:$K$500,"High")</f>
        <v/>
      </c>
      <c r="E7" s="59">
        <f>COUNTIFS('Test Case'!$C$10:$C$500,$B7,'Test Case'!$K$10:$K$500,"Medium")</f>
        <v/>
      </c>
      <c r="F7" s="59">
        <f>COUNTIFS('Test Case'!$C$10:$C$500,$B7,'Test Case'!$K$10:$K$500,"Low")</f>
        <v/>
      </c>
      <c r="G7" s="59">
        <f>COUNTIFS('Test Case'!$C$10:$C$500,$B7,'Test Case'!$M$10:$M$500,"Pass")</f>
        <v/>
      </c>
      <c r="H7" s="59">
        <f>COUNTIFS('Test Case'!$C$10:$C$500,$B7,'Test Case'!$M$10:$M$500,"Fail")</f>
        <v/>
      </c>
      <c r="I7" s="59">
        <f>COUNTIFS('Test Case'!$C$10:$C$500,$B7,'Test Case'!$M$10:$M$500,"Blocked")</f>
        <v/>
      </c>
      <c r="J7" s="60">
        <f>IF(G7+H7=0,"",G7/(G7+H7))</f>
        <v/>
      </c>
    </row>
    <row r="8">
      <c r="B8" s="58" t="inlineStr">
        <is>
          <t>전역 셸</t>
        </is>
      </c>
      <c r="C8" s="59">
        <f>COUNTIF('Test Case'!$C$10:$C$500,$B8)</f>
        <v/>
      </c>
      <c r="D8" s="59">
        <f>COUNTIFS('Test Case'!$C$10:$C$500,$B8,'Test Case'!$K$10:$K$500,"High")</f>
        <v/>
      </c>
      <c r="E8" s="59">
        <f>COUNTIFS('Test Case'!$C$10:$C$500,$B8,'Test Case'!$K$10:$K$500,"Medium")</f>
        <v/>
      </c>
      <c r="F8" s="59">
        <f>COUNTIFS('Test Case'!$C$10:$C$500,$B8,'Test Case'!$K$10:$K$500,"Low")</f>
        <v/>
      </c>
      <c r="G8" s="59">
        <f>COUNTIFS('Test Case'!$C$10:$C$500,$B8,'Test Case'!$M$10:$M$500,"Pass")</f>
        <v/>
      </c>
      <c r="H8" s="59">
        <f>COUNTIFS('Test Case'!$C$10:$C$500,$B8,'Test Case'!$M$10:$M$500,"Fail")</f>
        <v/>
      </c>
      <c r="I8" s="59">
        <f>COUNTIFS('Test Case'!$C$10:$C$500,$B8,'Test Case'!$M$10:$M$500,"Blocked")</f>
        <v/>
      </c>
      <c r="J8" s="60">
        <f>IF(G8+H8=0,"",G8/(G8+H8))</f>
        <v/>
      </c>
    </row>
    <row r="9">
      <c r="B9" s="58" t="inlineStr">
        <is>
          <t>홈 화면</t>
        </is>
      </c>
      <c r="C9" s="59">
        <f>COUNTIF('Test Case'!$C$10:$C$500,$B9)</f>
        <v/>
      </c>
      <c r="D9" s="59">
        <f>COUNTIFS('Test Case'!$C$10:$C$500,$B9,'Test Case'!$K$10:$K$500,"High")</f>
        <v/>
      </c>
      <c r="E9" s="59">
        <f>COUNTIFS('Test Case'!$C$10:$C$500,$B9,'Test Case'!$K$10:$K$500,"Medium")</f>
        <v/>
      </c>
      <c r="F9" s="59">
        <f>COUNTIFS('Test Case'!$C$10:$C$500,$B9,'Test Case'!$K$10:$K$500,"Low")</f>
        <v/>
      </c>
      <c r="G9" s="59">
        <f>COUNTIFS('Test Case'!$C$10:$C$500,$B9,'Test Case'!$M$10:$M$500,"Pass")</f>
        <v/>
      </c>
      <c r="H9" s="59">
        <f>COUNTIFS('Test Case'!$C$10:$C$500,$B9,'Test Case'!$M$10:$M$500,"Fail")</f>
        <v/>
      </c>
      <c r="I9" s="59">
        <f>COUNTIFS('Test Case'!$C$10:$C$500,$B9,'Test Case'!$M$10:$M$500,"Blocked")</f>
        <v/>
      </c>
      <c r="J9" s="60">
        <f>IF(G9+H9=0,"",G9/(G9+H9))</f>
        <v/>
      </c>
    </row>
    <row r="10">
      <c r="B10" s="58" t="inlineStr">
        <is>
          <t>캐릭터 페이지</t>
        </is>
      </c>
      <c r="C10" s="59">
        <f>COUNTIF('Test Case'!$C$10:$C$500,$B10)</f>
        <v/>
      </c>
      <c r="D10" s="59">
        <f>COUNTIFS('Test Case'!$C$10:$C$500,$B10,'Test Case'!$K$10:$K$500,"High")</f>
        <v/>
      </c>
      <c r="E10" s="59">
        <f>COUNTIFS('Test Case'!$C$10:$C$500,$B10,'Test Case'!$K$10:$K$500,"Medium")</f>
        <v/>
      </c>
      <c r="F10" s="59">
        <f>COUNTIFS('Test Case'!$C$10:$C$500,$B10,'Test Case'!$K$10:$K$500,"Low")</f>
        <v/>
      </c>
      <c r="G10" s="59">
        <f>COUNTIFS('Test Case'!$C$10:$C$500,$B10,'Test Case'!$M$10:$M$500,"Pass")</f>
        <v/>
      </c>
      <c r="H10" s="59">
        <f>COUNTIFS('Test Case'!$C$10:$C$500,$B10,'Test Case'!$M$10:$M$500,"Fail")</f>
        <v/>
      </c>
      <c r="I10" s="59">
        <f>COUNTIFS('Test Case'!$C$10:$C$500,$B10,'Test Case'!$M$10:$M$500,"Blocked")</f>
        <v/>
      </c>
      <c r="J10" s="60">
        <f>IF(G10+H10=0,"",G10/(G10+H10))</f>
        <v/>
      </c>
    </row>
    <row r="11">
      <c r="B11" s="58" t="inlineStr">
        <is>
          <t>대화 프로필 화면</t>
        </is>
      </c>
      <c r="C11" s="59">
        <f>COUNTIF('Test Case'!$C$10:$C$500,$B11)</f>
        <v/>
      </c>
      <c r="D11" s="59">
        <f>COUNTIFS('Test Case'!$C$10:$C$500,$B11,'Test Case'!$K$10:$K$500,"High")</f>
        <v/>
      </c>
      <c r="E11" s="59">
        <f>COUNTIFS('Test Case'!$C$10:$C$500,$B11,'Test Case'!$K$10:$K$500,"Medium")</f>
        <v/>
      </c>
      <c r="F11" s="59">
        <f>COUNTIFS('Test Case'!$C$10:$C$500,$B11,'Test Case'!$K$10:$K$500,"Low")</f>
        <v/>
      </c>
      <c r="G11" s="59">
        <f>COUNTIFS('Test Case'!$C$10:$C$500,$B11,'Test Case'!$M$10:$M$500,"Pass")</f>
        <v/>
      </c>
      <c r="H11" s="59">
        <f>COUNTIFS('Test Case'!$C$10:$C$500,$B11,'Test Case'!$M$10:$M$500,"Fail")</f>
        <v/>
      </c>
      <c r="I11" s="59">
        <f>COUNTIFS('Test Case'!$C$10:$C$500,$B11,'Test Case'!$M$10:$M$500,"Blocked")</f>
        <v/>
      </c>
      <c r="J11" s="60">
        <f>IF(G11+H11=0,"",G11/(G11+H11))</f>
        <v/>
      </c>
    </row>
    <row r="12">
      <c r="B12" s="58" t="inlineStr">
        <is>
          <t>대화방</t>
        </is>
      </c>
      <c r="C12" s="59">
        <f>COUNTIF('Test Case'!$C$10:$C$500,$B12)</f>
        <v/>
      </c>
      <c r="D12" s="59">
        <f>COUNTIFS('Test Case'!$C$10:$C$500,$B12,'Test Case'!$K$10:$K$500,"High")</f>
        <v/>
      </c>
      <c r="E12" s="59">
        <f>COUNTIFS('Test Case'!$C$10:$C$500,$B12,'Test Case'!$K$10:$K$500,"Medium")</f>
        <v/>
      </c>
      <c r="F12" s="59">
        <f>COUNTIFS('Test Case'!$C$10:$C$500,$B12,'Test Case'!$K$10:$K$500,"Low")</f>
        <v/>
      </c>
      <c r="G12" s="59">
        <f>COUNTIFS('Test Case'!$C$10:$C$500,$B12,'Test Case'!$M$10:$M$500,"Pass")</f>
        <v/>
      </c>
      <c r="H12" s="59">
        <f>COUNTIFS('Test Case'!$C$10:$C$500,$B12,'Test Case'!$M$10:$M$500,"Fail")</f>
        <v/>
      </c>
      <c r="I12" s="59">
        <f>COUNTIFS('Test Case'!$C$10:$C$500,$B12,'Test Case'!$M$10:$M$500,"Blocked")</f>
        <v/>
      </c>
      <c r="J12" s="60">
        <f>IF(G12+H12=0,"",G12/(G12+H12))</f>
        <v/>
      </c>
    </row>
    <row r="13">
      <c r="B13" s="58" t="inlineStr">
        <is>
          <t>채팅 탭</t>
        </is>
      </c>
      <c r="C13" s="59">
        <f>COUNTIF('Test Case'!$C$10:$C$500,$B13)</f>
        <v/>
      </c>
      <c r="D13" s="59">
        <f>COUNTIFS('Test Case'!$C$10:$C$500,$B13,'Test Case'!$K$10:$K$500,"High")</f>
        <v/>
      </c>
      <c r="E13" s="59">
        <f>COUNTIFS('Test Case'!$C$10:$C$500,$B13,'Test Case'!$K$10:$K$500,"Medium")</f>
        <v/>
      </c>
      <c r="F13" s="59">
        <f>COUNTIFS('Test Case'!$C$10:$C$500,$B13,'Test Case'!$K$10:$K$500,"Low")</f>
        <v/>
      </c>
      <c r="G13" s="59">
        <f>COUNTIFS('Test Case'!$C$10:$C$500,$B13,'Test Case'!$M$10:$M$500,"Pass")</f>
        <v/>
      </c>
      <c r="H13" s="59">
        <f>COUNTIFS('Test Case'!$C$10:$C$500,$B13,'Test Case'!$M$10:$M$500,"Fail")</f>
        <v/>
      </c>
      <c r="I13" s="59">
        <f>COUNTIFS('Test Case'!$C$10:$C$500,$B13,'Test Case'!$M$10:$M$500,"Blocked")</f>
        <v/>
      </c>
      <c r="J13" s="60">
        <f>IF(G13+H13=0,"",G13/(G13+H13))</f>
        <v/>
      </c>
    </row>
    <row r="14">
      <c r="B14" s="58" t="inlineStr">
        <is>
          <t>MY 탭</t>
        </is>
      </c>
      <c r="C14" s="59">
        <f>COUNTIF('Test Case'!$C$10:$C$500,$B14)</f>
        <v/>
      </c>
      <c r="D14" s="59">
        <f>COUNTIFS('Test Case'!$C$10:$C$500,$B14,'Test Case'!$K$10:$K$500,"High")</f>
        <v/>
      </c>
      <c r="E14" s="59">
        <f>COUNTIFS('Test Case'!$C$10:$C$500,$B14,'Test Case'!$K$10:$K$500,"Medium")</f>
        <v/>
      </c>
      <c r="F14" s="59">
        <f>COUNTIFS('Test Case'!$C$10:$C$500,$B14,'Test Case'!$K$10:$K$500,"Low")</f>
        <v/>
      </c>
      <c r="G14" s="59">
        <f>COUNTIFS('Test Case'!$C$10:$C$500,$B14,'Test Case'!$M$10:$M$500,"Pass")</f>
        <v/>
      </c>
      <c r="H14" s="59">
        <f>COUNTIFS('Test Case'!$C$10:$C$500,$B14,'Test Case'!$M$10:$M$500,"Fail")</f>
        <v/>
      </c>
      <c r="I14" s="59">
        <f>COUNTIFS('Test Case'!$C$10:$C$500,$B14,'Test Case'!$M$10:$M$500,"Blocked")</f>
        <v/>
      </c>
      <c r="J14" s="60">
        <f>IF(G14+H14=0,"",G14/(G14+H14))</f>
        <v/>
      </c>
    </row>
    <row r="15">
      <c r="B15" s="58" t="inlineStr">
        <is>
          <t>재화</t>
        </is>
      </c>
      <c r="C15" s="59">
        <f>COUNTIF('Test Case'!$C$10:$C$500,$B15)</f>
        <v/>
      </c>
      <c r="D15" s="59">
        <f>COUNTIFS('Test Case'!$C$10:$C$500,$B15,'Test Case'!$K$10:$K$500,"High")</f>
        <v/>
      </c>
      <c r="E15" s="59">
        <f>COUNTIFS('Test Case'!$C$10:$C$500,$B15,'Test Case'!$K$10:$K$500,"Medium")</f>
        <v/>
      </c>
      <c r="F15" s="59">
        <f>COUNTIFS('Test Case'!$C$10:$C$500,$B15,'Test Case'!$K$10:$K$500,"Low")</f>
        <v/>
      </c>
      <c r="G15" s="59">
        <f>COUNTIFS('Test Case'!$C$10:$C$500,$B15,'Test Case'!$M$10:$M$500,"Pass")</f>
        <v/>
      </c>
      <c r="H15" s="59">
        <f>COUNTIFS('Test Case'!$C$10:$C$500,$B15,'Test Case'!$M$10:$M$500,"Fail")</f>
        <v/>
      </c>
      <c r="I15" s="59">
        <f>COUNTIFS('Test Case'!$C$10:$C$500,$B15,'Test Case'!$M$10:$M$500,"Blocked")</f>
        <v/>
      </c>
      <c r="J15" s="60">
        <f>IF(G15+H15=0,"",G15/(G15+H15))</f>
        <v/>
      </c>
    </row>
    <row r="16">
      <c r="B16" s="58" t="inlineStr">
        <is>
          <t>스텁·정적</t>
        </is>
      </c>
      <c r="C16" s="59">
        <f>COUNTIF('Test Case'!$C$10:$C$500,$B16)</f>
        <v/>
      </c>
      <c r="D16" s="59">
        <f>COUNTIFS('Test Case'!$C$10:$C$500,$B16,'Test Case'!$K$10:$K$500,"High")</f>
        <v/>
      </c>
      <c r="E16" s="59">
        <f>COUNTIFS('Test Case'!$C$10:$C$500,$B16,'Test Case'!$K$10:$K$500,"Medium")</f>
        <v/>
      </c>
      <c r="F16" s="59">
        <f>COUNTIFS('Test Case'!$C$10:$C$500,$B16,'Test Case'!$K$10:$K$500,"Low")</f>
        <v/>
      </c>
      <c r="G16" s="59">
        <f>COUNTIFS('Test Case'!$C$10:$C$500,$B16,'Test Case'!$M$10:$M$500,"Pass")</f>
        <v/>
      </c>
      <c r="H16" s="59">
        <f>COUNTIFS('Test Case'!$C$10:$C$500,$B16,'Test Case'!$M$10:$M$500,"Fail")</f>
        <v/>
      </c>
      <c r="I16" s="59">
        <f>COUNTIFS('Test Case'!$C$10:$C$500,$B16,'Test Case'!$M$10:$M$500,"Blocked")</f>
        <v/>
      </c>
      <c r="J16" s="60">
        <f>IF(G16+H16=0,"",G16/(G16+H16))</f>
        <v/>
      </c>
    </row>
    <row r="17">
      <c r="B17" s="61" t="inlineStr">
        <is>
          <t>합계</t>
        </is>
      </c>
      <c r="C17" s="62">
        <f>SUM(C7:C16)</f>
        <v/>
      </c>
      <c r="D17" s="62">
        <f>SUM(D7:D16)</f>
        <v/>
      </c>
      <c r="E17" s="62">
        <f>SUM(E7:E16)</f>
        <v/>
      </c>
      <c r="F17" s="62">
        <f>SUM(F7:F16)</f>
        <v/>
      </c>
      <c r="G17" s="62">
        <f>SUM(G7:G16)</f>
        <v/>
      </c>
      <c r="H17" s="62">
        <f>SUM(H7:H16)</f>
        <v/>
      </c>
      <c r="I17" s="62">
        <f>SUM(I7:I16)</f>
        <v/>
      </c>
      <c r="J17" s="63">
        <f>IF(G17+H17=0,"",G17/(G17+H17))</f>
        <v/>
      </c>
      <c r="K17" s="62">
        <f>SUM(K7:K16)</f>
        <v/>
      </c>
    </row>
    <row r="19">
      <c r="B19" s="52" t="inlineStr">
        <is>
          <t>TC 수 = 스텝 행 수(1-Depth 기준) · Pass/Fail/Blocked도 같은 행 단위(Result 열) · Pass율 = Pass ÷ (Pass + Fail) — NI·Blocked는 분모에서 제외합니다</t>
        </is>
      </c>
    </row>
  </sheetData>
  <mergeCells count="5">
    <mergeCell ref="D5:F5"/>
    <mergeCell ref="C4:E4"/>
    <mergeCell ref="G5:J5"/>
    <mergeCell ref="B5:B6"/>
    <mergeCell ref="C5:C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U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12" customWidth="1" min="2" max="2"/>
    <col width="13" customWidth="1" min="3" max="3"/>
    <col width="12" customWidth="1" min="4" max="4"/>
    <col width="46" customWidth="1" min="5" max="5"/>
    <col width="50" customWidth="1" min="6" max="6"/>
    <col width="9" customWidth="1" min="7" max="7"/>
    <col width="10" customWidth="1" min="8" max="8"/>
    <col width="17" customWidth="1" min="9" max="9"/>
    <col width="17" customWidth="1" min="10" max="10"/>
    <col width="16" customWidth="1" min="11" max="11"/>
    <col width="8" customWidth="1" min="12" max="12"/>
    <col width="16" customWidth="1" min="13" max="13"/>
    <col width="9" customWidth="1" min="14" max="14"/>
    <col width="10" customWidth="1" min="15" max="15"/>
    <col width="12" customWidth="1" min="16" max="16"/>
    <col width="10" customWidth="1" min="17" max="17"/>
    <col width="13" customWidth="1" min="18" max="18"/>
    <col width="12" customWidth="1" min="19" max="19"/>
    <col width="14" customWidth="1" min="20" max="20"/>
    <col width="15" customWidth="1" min="21" max="21"/>
  </cols>
  <sheetData>
    <row r="2" ht="30" customHeight="1">
      <c r="B2" s="64" t="inlineStr">
        <is>
          <t>프로젝트 ID</t>
        </is>
      </c>
      <c r="C2" s="64" t="inlineStr">
        <is>
          <t>Issue No.</t>
        </is>
      </c>
      <c r="D2" s="64" t="inlineStr">
        <is>
          <t>이슈 상태</t>
        </is>
      </c>
      <c r="E2" s="64" t="inlineStr">
        <is>
          <t>요약(Summary)</t>
        </is>
      </c>
      <c r="F2" s="64" t="inlineStr">
        <is>
          <t>설명</t>
        </is>
      </c>
      <c r="G2" s="64" t="inlineStr">
        <is>
          <t>우선순위</t>
        </is>
      </c>
      <c r="H2" s="64" t="inlineStr">
        <is>
          <t>빈도</t>
        </is>
      </c>
      <c r="I2" s="64" t="inlineStr">
        <is>
          <t>영향 받는 버전</t>
        </is>
      </c>
      <c r="J2" s="64" t="inlineStr">
        <is>
          <t>수정 버전</t>
        </is>
      </c>
      <c r="K2" s="64" t="inlineStr">
        <is>
          <t>해결책</t>
        </is>
      </c>
      <c r="L2" s="64" t="inlineStr">
        <is>
          <t>환경</t>
        </is>
      </c>
      <c r="M2" s="64" t="inlineStr">
        <is>
          <t>레이블</t>
        </is>
      </c>
      <c r="N2" s="64" t="inlineStr">
        <is>
          <t>보고자</t>
        </is>
      </c>
      <c r="O2" s="64" t="inlineStr">
        <is>
          <t>담당자</t>
        </is>
      </c>
      <c r="P2" s="64" t="inlineStr">
        <is>
          <t>관측자</t>
        </is>
      </c>
      <c r="Q2" s="64" t="inlineStr">
        <is>
          <t>첨부파일</t>
        </is>
      </c>
      <c r="R2" s="64" t="inlineStr">
        <is>
          <t>스프린트</t>
        </is>
      </c>
      <c r="S2" s="64" t="inlineStr">
        <is>
          <t>이슈 등록일</t>
        </is>
      </c>
      <c r="T2" s="64" t="inlineStr">
        <is>
          <t>이슈 최종 수정일자</t>
        </is>
      </c>
      <c r="U2" s="64" t="inlineStr">
        <is>
          <t>이슈 상태 최종 변경일자</t>
        </is>
      </c>
    </row>
    <row r="3">
      <c r="B3" s="65" t="inlineStr">
        <is>
          <t>miyonchat</t>
        </is>
      </c>
      <c r="C3" s="65" t="inlineStr">
        <is>
          <t>miyonchat-1</t>
        </is>
      </c>
      <c r="D3" s="65" t="inlineStr">
        <is>
          <t>Resolved</t>
        </is>
      </c>
      <c r="E3" s="66" t="inlineStr">
        <is>
          <t>디버그 콘솔 &gt; 전체 초기화(reset) 수행 &gt; 계정 A 로그인 시, 성인 인증이 해제된 상태로 시작됨</t>
        </is>
      </c>
      <c r="F3" s="66" t="inlineStr">
        <is>
          <t>Pre-condition: SUT 진입
Reproduce Step: 디버그 콘솔 열기 &gt; [전체 초기화] 선택 &gt; 계정 A로 로그인 &gt; 간편 프로필 확인
Actual Result: "성인 미인증"으로 표시되고 언세이프 게이트가 열리지 않음
Expected Result: 계정 A는 기본값이 성인 인증 완료이므로 "성인 인증 완료"로 표시되어야 함
QA Comment: 계정 상태 생성 함수에 계정 식별자를 전달하지 않아 기본값 판정이 항상 거짓이 됨. 자동화가 매 테스트 전 reset()을 호출하는 구조라, 남아 있으면 게이팅 계열 TC 전체가 미인증 상태에서 실행되어 결과를 신뢰할 수 없음</t>
        </is>
      </c>
      <c r="G3" s="65" t="inlineStr">
        <is>
          <t>High</t>
        </is>
      </c>
      <c r="H3" s="65" t="inlineStr">
        <is>
          <t>Always</t>
        </is>
      </c>
      <c r="I3" s="65" t="inlineStr">
        <is>
          <t>PC웹_Ver1.0_Dev_RC1</t>
        </is>
      </c>
      <c r="J3" s="65" t="inlineStr">
        <is>
          <t>PC웹_Ver1.0_Dev_RC2</t>
        </is>
      </c>
      <c r="K3" s="65" t="inlineStr">
        <is>
          <t>Fixed</t>
        </is>
      </c>
      <c r="L3" s="65" t="inlineStr">
        <is>
          <t>PC웹</t>
        </is>
      </c>
      <c r="M3" s="65" t="inlineStr">
        <is>
          <t>계정/게이팅</t>
        </is>
      </c>
      <c r="N3" s="65" t="inlineStr">
        <is>
          <t>정준호</t>
        </is>
      </c>
      <c r="O3" s="65" t="inlineStr">
        <is>
          <t>Claude Opus 5</t>
        </is>
      </c>
      <c r="P3" s="65" t="inlineStr"/>
      <c r="Q3" s="65" t="inlineStr"/>
      <c r="R3" s="65" t="inlineStr">
        <is>
          <t>PC웹_Ver1.0_Dev</t>
        </is>
      </c>
      <c r="S3" s="65" t="inlineStr">
        <is>
          <t>2026-08-02</t>
        </is>
      </c>
      <c r="T3" s="65" t="inlineStr">
        <is>
          <t>2026-08-02</t>
        </is>
      </c>
      <c r="U3" s="65" t="inlineStr">
        <is>
          <t>2026-08-02</t>
        </is>
      </c>
    </row>
  </sheetData>
  <autoFilter ref="B2:U3"/>
  <conditionalFormatting sqref="D3:D200">
    <cfRule type="cellIs" priority="1" operator="equal" dxfId="5">
      <formula>"Open"</formula>
    </cfRule>
    <cfRule type="cellIs" priority="2" operator="equal" dxfId="6">
      <formula>"In Progress"</formula>
    </cfRule>
    <cfRule type="cellIs" priority="3" operator="equal" dxfId="7">
      <formula>"Resolved"</formula>
    </cfRule>
    <cfRule type="cellIs" priority="4" operator="equal" dxfId="5">
      <formula>"Reopen"</formula>
    </cfRule>
    <cfRule type="cellIs" priority="5" operator="equal" dxfId="8">
      <formula>"Closed"</formula>
    </cfRule>
  </conditionalFormatting>
  <conditionalFormatting sqref="G3:G200">
    <cfRule type="cellIs" priority="6" operator="equal" dxfId="9">
      <formula>"High"</formula>
    </cfRule>
    <cfRule type="cellIs" priority="7" operator="equal" dxfId="10">
      <formula>"Medium"</formula>
    </cfRule>
    <cfRule type="cellIs" priority="8" operator="equal" dxfId="8">
      <formula>"Low"</formula>
    </cfRule>
  </conditionalFormatting>
  <dataValidations count="12">
    <dataValidation sqref="B3:B200" showDropDown="0" showInputMessage="0" showErrorMessage="0" allowBlank="1" type="list">
      <formula1>list_project</formula1>
    </dataValidation>
    <dataValidation sqref="D3:D200" showDropDown="0" showInputMessage="0" showErrorMessage="0" allowBlank="1" type="list">
      <formula1>list_status</formula1>
    </dataValidation>
    <dataValidation sqref="G3:G200" showDropDown="0" showInputMessage="0" showErrorMessage="0" allowBlank="1" type="list">
      <formula1>list_priority</formula1>
    </dataValidation>
    <dataValidation sqref="H3:H200" showDropDown="0" showInputMessage="0" showErrorMessage="0" allowBlank="1" type="list">
      <formula1>list_frequency</formula1>
    </dataValidation>
    <dataValidation sqref="I3:I200" showDropDown="0" showInputMessage="0" showErrorMessage="0" allowBlank="1" type="list">
      <formula1>list_version</formula1>
    </dataValidation>
    <dataValidation sqref="J3:J200" showDropDown="0" showInputMessage="0" showErrorMessage="0" allowBlank="1" type="list">
      <formula1>list_version</formula1>
    </dataValidation>
    <dataValidation sqref="K3:K200" showDropDown="0" showInputMessage="0" showErrorMessage="0" allowBlank="1" type="list">
      <formula1>list_resolution</formula1>
    </dataValidation>
    <dataValidation sqref="L3:L200" showDropDown="0" showInputMessage="0" showErrorMessage="0" allowBlank="1" type="list">
      <formula1>list_env</formula1>
    </dataValidation>
    <dataValidation sqref="M3:M200" showDropDown="0" showInputMessage="0" showErrorMessage="0" allowBlank="1" type="list">
      <formula1>list_label</formula1>
    </dataValidation>
    <dataValidation sqref="N3:N200" showDropDown="0" showInputMessage="0" showErrorMessage="0" allowBlank="1" type="list">
      <formula1>list_reporter</formula1>
    </dataValidation>
    <dataValidation sqref="O3:O200" showDropDown="0" showInputMessage="0" showErrorMessage="0" allowBlank="1" type="list">
      <formula1>list_assignee</formula1>
    </dataValidation>
    <dataValidation sqref="R3:R200" showDropDown="0" showInputMessage="0" showErrorMessage="0" allowBlank="1" type="list">
      <formula1>list_sprint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4" customWidth="1" min="7" max="7"/>
    <col width="22" customWidth="1" min="8" max="8"/>
    <col width="20" customWidth="1" min="9" max="9"/>
    <col width="14" customWidth="1" min="10" max="10"/>
    <col width="14" customWidth="1" min="11" max="11"/>
    <col width="14" customWidth="1" min="12" max="12"/>
    <col width="17" customWidth="1" min="13" max="13"/>
    <col width="18" customWidth="1" min="14" max="14"/>
  </cols>
  <sheetData>
    <row r="2">
      <c r="B2" s="67" t="inlineStr">
        <is>
          <t>프로젝트</t>
        </is>
      </c>
      <c r="C2" s="67" t="inlineStr">
        <is>
          <t>실행 주체</t>
        </is>
      </c>
      <c r="D2" s="67" t="inlineStr">
        <is>
          <t>상태</t>
        </is>
      </c>
      <c r="E2" s="67" t="inlineStr">
        <is>
          <t>이슈 상태</t>
        </is>
      </c>
      <c r="F2" s="67" t="inlineStr">
        <is>
          <t>우선순위</t>
        </is>
      </c>
      <c r="G2" s="67" t="inlineStr">
        <is>
          <t>빈도</t>
        </is>
      </c>
      <c r="H2" s="67" t="inlineStr">
        <is>
          <t>버전(영향/수정 공용)</t>
        </is>
      </c>
      <c r="I2" s="67" t="inlineStr">
        <is>
          <t>해결책</t>
        </is>
      </c>
      <c r="J2" s="67" t="inlineStr">
        <is>
          <t>환경</t>
        </is>
      </c>
      <c r="K2" s="67" t="inlineStr">
        <is>
          <t>레이블</t>
        </is>
      </c>
      <c r="L2" s="67" t="inlineStr">
        <is>
          <t>보고자</t>
        </is>
      </c>
      <c r="M2" s="67" t="inlineStr">
        <is>
          <t>담당자</t>
        </is>
      </c>
      <c r="N2" s="67" t="inlineStr">
        <is>
          <t>스프린트</t>
        </is>
      </c>
    </row>
    <row r="3">
      <c r="B3" s="68" t="inlineStr">
        <is>
          <t>miyonchat</t>
        </is>
      </c>
      <c r="C3" s="68" t="inlineStr">
        <is>
          <t>자동화 전용</t>
        </is>
      </c>
      <c r="D3" s="68" t="inlineStr">
        <is>
          <t>미로그인</t>
        </is>
      </c>
      <c r="E3" s="68" t="inlineStr">
        <is>
          <t>Open</t>
        </is>
      </c>
      <c r="F3" s="68" t="inlineStr">
        <is>
          <t>High</t>
        </is>
      </c>
      <c r="G3" s="68" t="inlineStr">
        <is>
          <t>Always</t>
        </is>
      </c>
      <c r="H3" s="68" t="inlineStr">
        <is>
          <t>PC웹_Ver1.0_Dev_RC1</t>
        </is>
      </c>
      <c r="I3" s="68" t="inlineStr">
        <is>
          <t>Fixed</t>
        </is>
      </c>
      <c r="J3" s="68" t="inlineStr">
        <is>
          <t>PC웹</t>
        </is>
      </c>
      <c r="K3" s="68" t="inlineStr">
        <is>
          <t>앱 진입/세션</t>
        </is>
      </c>
      <c r="L3" s="68" t="inlineStr">
        <is>
          <t>정준호</t>
        </is>
      </c>
      <c r="M3" s="68" t="inlineStr">
        <is>
          <t>Claude Opus 5</t>
        </is>
      </c>
      <c r="N3" s="68" t="inlineStr">
        <is>
          <t>PC웹_Ver1.0_Dev</t>
        </is>
      </c>
    </row>
    <row r="4">
      <c r="C4" s="68" t="inlineStr">
        <is>
          <t>공통</t>
        </is>
      </c>
      <c r="D4" s="68" t="inlineStr">
        <is>
          <t>본인인증 미진행</t>
        </is>
      </c>
      <c r="E4" s="68" t="inlineStr">
        <is>
          <t>In Progress</t>
        </is>
      </c>
      <c r="F4" s="68" t="inlineStr">
        <is>
          <t>Medium</t>
        </is>
      </c>
      <c r="G4" s="68" t="inlineStr">
        <is>
          <t>Often</t>
        </is>
      </c>
      <c r="H4" s="68" t="inlineStr">
        <is>
          <t>PC웹_Ver1.0_Dev_RC2</t>
        </is>
      </c>
      <c r="I4" s="68" t="inlineStr">
        <is>
          <t>Won't Do</t>
        </is>
      </c>
      <c r="K4" s="68" t="inlineStr">
        <is>
          <t>계정/게이팅</t>
        </is>
      </c>
      <c r="N4" s="68" t="inlineStr">
        <is>
          <t>PC웹_Ver1.0_RT1</t>
        </is>
      </c>
    </row>
    <row r="5">
      <c r="C5" s="68" t="inlineStr">
        <is>
          <t>사람 전용</t>
        </is>
      </c>
      <c r="D5" s="68" t="inlineStr">
        <is>
          <t>성인 인증</t>
        </is>
      </c>
      <c r="E5" s="68" t="inlineStr">
        <is>
          <t>Resolved</t>
        </is>
      </c>
      <c r="F5" s="68" t="inlineStr">
        <is>
          <t>Low</t>
        </is>
      </c>
      <c r="G5" s="68" t="inlineStr">
        <is>
          <t>Sometimes</t>
        </is>
      </c>
      <c r="H5" s="68" t="inlineStr">
        <is>
          <t>PC웹_Ver1.0_Dev_RC3</t>
        </is>
      </c>
      <c r="I5" s="68" t="inlineStr">
        <is>
          <t>Won't Fix</t>
        </is>
      </c>
      <c r="K5" s="68" t="inlineStr">
        <is>
          <t>탐색/발견</t>
        </is>
      </c>
    </row>
    <row r="6">
      <c r="D6" s="68" t="inlineStr">
        <is>
          <t>미성년</t>
        </is>
      </c>
      <c r="E6" s="68" t="inlineStr">
        <is>
          <t>Reopen</t>
        </is>
      </c>
      <c r="G6" s="68" t="inlineStr">
        <is>
          <t>Once</t>
        </is>
      </c>
      <c r="H6" s="68" t="inlineStr">
        <is>
          <t>PC웹_Ver1.0_RT1_RC1</t>
        </is>
      </c>
      <c r="I6" s="68" t="inlineStr">
        <is>
          <t>Duplicate</t>
        </is>
      </c>
      <c r="K6" s="68" t="inlineStr">
        <is>
          <t>유저 페르소나</t>
        </is>
      </c>
    </row>
    <row r="7">
      <c r="D7" s="68" t="inlineStr">
        <is>
          <t>세션 만료</t>
        </is>
      </c>
      <c r="E7" s="68" t="inlineStr">
        <is>
          <t>Closed</t>
        </is>
      </c>
      <c r="I7" s="68" t="inlineStr">
        <is>
          <t>Incomplete</t>
        </is>
      </c>
      <c r="K7" s="68" t="inlineStr">
        <is>
          <t>재화</t>
        </is>
      </c>
    </row>
    <row r="8">
      <c r="I8" s="68" t="inlineStr">
        <is>
          <t>Cannot Reproduce</t>
        </is>
      </c>
      <c r="K8" s="68" t="inlineStr">
        <is>
          <t>서사 시스템</t>
        </is>
      </c>
    </row>
    <row r="9">
      <c r="I9" s="68" t="inlineStr">
        <is>
          <t>Done</t>
        </is>
      </c>
      <c r="K9" s="68" t="inlineStr">
        <is>
          <t>대화 세션</t>
        </is>
      </c>
    </row>
    <row r="10">
      <c r="I10" s="68" t="inlineStr">
        <is>
          <t>Declined</t>
        </is>
      </c>
      <c r="K10" s="68" t="inlineStr">
        <is>
          <t>세이브/로드</t>
        </is>
      </c>
    </row>
    <row r="11">
      <c r="K11" s="68" t="inlineStr">
        <is>
          <t>메모리/컨텍스트</t>
        </is>
      </c>
    </row>
    <row r="12">
      <c r="K12" s="68" t="inlineStr">
        <is>
          <t>입력/출력 세이프티</t>
        </is>
      </c>
    </row>
  </sheetData>
  <conditionalFormatting sqref="C3:C20">
    <cfRule type="cellIs" priority="1" operator="equal" dxfId="5">
      <formula>"Open"</formula>
    </cfRule>
    <cfRule type="cellIs" priority="2" operator="equal" dxfId="6">
      <formula>"In Progress"</formula>
    </cfRule>
    <cfRule type="cellIs" priority="3" operator="equal" dxfId="7">
      <formula>"Resolved"</formula>
    </cfRule>
    <cfRule type="cellIs" priority="4" operator="equal" dxfId="5">
      <formula>"Reopen"</formula>
    </cfRule>
    <cfRule type="cellIs" priority="5" operator="equal" dxfId="8">
      <formula>"Closed"</formula>
    </cfRule>
  </conditionalFormatting>
  <conditionalFormatting sqref="D3:D20">
    <cfRule type="cellIs" priority="6" operator="equal" dxfId="9">
      <formula>"High"</formula>
    </cfRule>
    <cfRule type="cellIs" priority="7" operator="equal" dxfId="10">
      <formula>"Medium"</formula>
    </cfRule>
    <cfRule type="cellIs" priority="8" operator="equal" dxfId="8">
      <formula>"Low"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34" customWidth="1" min="3" max="3"/>
    <col width="90" customWidth="1" min="4" max="4"/>
  </cols>
  <sheetData>
    <row r="2">
      <c r="B2" s="69" t="inlineStr">
        <is>
          <t>명세서 — 시트 규칙 정본</t>
        </is>
      </c>
    </row>
    <row r="3">
      <c r="B3" s="70" t="inlineStr">
        <is>
          <t>이 시트가 구조 규칙의 정본입니다. rules/tc-sheet-format.md와 짝으로 교차 검증하며, 불일치 발견 시 임의 판단 없이 사용자에게 기준을 확인합니다. 서식(색·테두리·폰트)의 정본은 design-template/xlsx-design-guide.md입니다.</t>
        </is>
      </c>
    </row>
    <row r="5">
      <c r="B5" s="51" t="inlineStr">
        <is>
          <t>1. 시트 구성</t>
        </is>
      </c>
    </row>
    <row r="6">
      <c r="B6" s="67" t="inlineStr">
        <is>
          <t>시트</t>
        </is>
      </c>
      <c r="C6" s="67" t="inlineStr">
        <is>
          <t>역할</t>
        </is>
      </c>
    </row>
    <row r="7">
      <c r="B7" s="66" t="inlineStr">
        <is>
          <t>Test Case</t>
        </is>
      </c>
      <c r="C7" s="66" t="inlineStr">
        <is>
          <t>TC 작성과 실행 기록. 노란 셀은 실행 단계에서 채워집니다</t>
        </is>
      </c>
    </row>
    <row r="8">
      <c r="B8" s="66" t="inlineStr">
        <is>
          <t>Summary</t>
        </is>
      </c>
      <c r="C8" s="66" t="inlineStr">
        <is>
          <t>행 단위 자동 집계(1-Depth 기준). 기준 골격 버전(C4)은 생성 시 자동 기입됩니다</t>
        </is>
      </c>
    </row>
    <row r="9">
      <c r="B9" s="66" t="inlineStr">
        <is>
          <t>이슈 관리 시트</t>
        </is>
      </c>
      <c r="C9" s="66" t="inlineStr">
        <is>
          <t>결함 기록(내장 운영, JIRA 미사용) — JIRA 이슈 등록·관리 방식을 시트로 표현. Issue No.로 Test Case와 연결합니다. 정본은 별도 파일 test-case/{프로젝트}-issues.json이며 이 시트는 그 파생입니다</t>
        </is>
      </c>
    </row>
    <row r="10">
      <c r="B10" s="66" t="inlineStr">
        <is>
          <t>목록</t>
        </is>
      </c>
      <c r="C10" s="66" t="inlineStr">
        <is>
          <t>드롭다운 참조 목록의 정본. 숨기지 않고 맨 뒤에 둡니다</t>
        </is>
      </c>
    </row>
    <row r="11">
      <c r="B11" s="66" t="inlineStr">
        <is>
          <t>명세서</t>
        </is>
      </c>
      <c r="C11" s="66" t="inlineStr">
        <is>
          <t>이 시트 — 구조 규칙의 정본</t>
        </is>
      </c>
    </row>
    <row r="13">
      <c r="B13" s="51" t="inlineStr">
        <is>
          <t>2. 컬럼 정의 (Test Case)</t>
        </is>
      </c>
    </row>
    <row r="14">
      <c r="B14" s="67" t="inlineStr">
        <is>
          <t>컬럼</t>
        </is>
      </c>
      <c r="C14" s="67" t="inlineStr">
        <is>
          <t>내용</t>
        </is>
      </c>
      <c r="D14" s="67" t="inlineStr">
        <is>
          <t>채우는 규칙</t>
        </is>
      </c>
    </row>
    <row r="15">
      <c r="B15" s="66" t="inlineStr">
        <is>
          <t>No</t>
        </is>
      </c>
      <c r="C15" s="66" t="inlineStr">
        <is>
          <t>행 번호</t>
        </is>
      </c>
      <c r="D15" s="66" t="inlineStr">
        <is>
          <t>자동 수식(ROW() 기준). 직접 입력하지 않습니다</t>
        </is>
      </c>
    </row>
    <row r="16">
      <c r="B16" s="66" t="inlineStr">
        <is>
          <t>1~7-Depth</t>
        </is>
      </c>
      <c r="C16" s="66" t="inlineStr">
        <is>
          <t>기능 계층</t>
        </is>
      </c>
      <c r="D16" s="66" t="inlineStr">
        <is>
          <t>행마다 반복(기대결과 추가 행 포함 — 집계·필터의 전제). 의미 있는 깊이까지만 쓰고 나머지는 빈칸. 병합하지 않습니다</t>
        </is>
      </c>
    </row>
    <row r="17">
      <c r="B17" s="66" t="inlineStr">
        <is>
          <t>Pre-Condition</t>
        </is>
      </c>
      <c r="C17" s="66" t="inlineStr">
        <is>
          <t>사전조건</t>
        </is>
      </c>
      <c r="D17" s="66" t="inlineStr">
        <is>
          <t>TN 1행에 케이스 진입 조건. 중간 스텝에 앞 스텝이 만들지 못하는 새 상태(시간 경과·외부 변화 등)가 필요하면 그 행에도 적습니다 — 앞 스텝의 결과로 성립한 상태는 제외. 같은 조건이 걸리는 스텝 행 범위는 세로 병합하되 케이스 전체 병합은 금지</t>
        </is>
      </c>
    </row>
    <row r="18">
      <c r="B18" s="66" t="inlineStr">
        <is>
          <t>TN</t>
        </is>
      </c>
      <c r="C18" s="66" t="inlineStr">
        <is>
          <t>스텝 번호</t>
        </is>
      </c>
      <c r="D18" s="66" t="inlineStr">
        <is>
          <t>케이스마다 1부터. 새 케이스가 시작되면 1로 복귀. 한 스텝의 기대결과가 여러 행이면(TN 값 무관) Test-Step과 함께 그 범위를 세로 병합합니다 — 반복 기재하면 독립 동작 여러 개로 오독됩니다</t>
        </is>
      </c>
    </row>
    <row r="19">
      <c r="B19" s="66" t="inlineStr">
        <is>
          <t>Test-Step</t>
        </is>
      </c>
      <c r="C19" s="66" t="inlineStr">
        <is>
          <t>수행 동작</t>
        </is>
      </c>
      <c r="D19" s="66" t="inlineStr">
        <is>
          <t>「~한다」 체. TN과 같은 범위로 세로 병합</t>
        </is>
      </c>
    </row>
    <row r="20">
      <c r="B20" s="66" t="inlineStr">
        <is>
          <t>Expected-Result</t>
        </is>
      </c>
      <c r="C20" s="66" t="inlineStr">
        <is>
          <t>기대 결과</t>
        </is>
      </c>
      <c r="D20" s="66" t="inlineStr">
        <is>
          <t>「~된다」 체. 판정 가능한 문장 — 임계·합격선·시도 횟수는 문장 안에 숫자로. 한 행 = 한 판정이므로 병합하지 않습니다</t>
        </is>
      </c>
    </row>
    <row r="21">
      <c r="B21" s="66" t="inlineStr">
        <is>
          <t>실행 주체</t>
        </is>
      </c>
      <c r="C21" s="66" t="inlineStr">
        <is>
          <t>누가 수행하는가</t>
        </is>
      </c>
      <c r="D21" s="66" t="inlineStr">
        <is>
          <t>행마다 반복(드롭다운 3종). 자동화 전용 = 사람이 화면만 봐서 판정 불가 / 사람 전용 = 자동화가 판정 기준을 못 세움 / 공통 = 기본값. 반복 횟수는 판정 근거가 아니며 「사람이 1회 봐도 의미가 있는가」로 갈립니다</t>
        </is>
      </c>
    </row>
    <row r="22">
      <c r="B22" s="66" t="inlineStr">
        <is>
          <t>Priority</t>
        </is>
      </c>
      <c r="C22" s="66" t="inlineStr">
        <is>
          <t>우선순위</t>
        </is>
      </c>
      <c r="D22" s="66" t="inlineStr">
        <is>
          <t>행마다 반복. High/Medium/Low — 케이스의 속성이지만 Summary가 행 단위로 집계하므로 행마다 값을 둡니다</t>
        </is>
      </c>
    </row>
    <row r="23">
      <c r="B23" s="66" t="inlineStr">
        <is>
          <t>Total Result</t>
        </is>
      </c>
      <c r="C23" s="66" t="inlineStr">
        <is>
          <t>행 판정</t>
        </is>
      </c>
      <c r="D23" s="66" t="inlineStr">
        <is>
          <t>수식 열. 병합하지 않고 데이터 한 행씩 세웁니다 — 같은 플랫폼에 단말이 여럿일 때 그 행의 단말 결과를 요약합니다. 직접 입력하지 않습니다</t>
        </is>
      </c>
    </row>
    <row r="24">
      <c r="B24" s="66" t="inlineStr">
        <is>
          <t>Result</t>
        </is>
      </c>
      <c r="C24" s="66" t="inlineStr">
        <is>
          <t>스텝 실행 결과</t>
        </is>
      </c>
      <c r="D24" s="66" t="inlineStr">
        <is>
          <t>드롭다운 4종(아래 상태값 정의). 실행 단계에서 채움 — 노란 셀</t>
        </is>
      </c>
    </row>
    <row r="25">
      <c r="B25" s="66" t="inlineStr">
        <is>
          <t>Issue No.</t>
        </is>
      </c>
      <c r="C25" s="66" t="inlineStr">
        <is>
          <t>관련 이슈</t>
        </is>
      </c>
      <c r="D25" s="66" t="inlineStr">
        <is>
          <t>해당 TC를 수행하는 과정에서 이슈가 발생하면, 먼저 이슈 관리 시트에 이슈를 등록하고 거기서 부여된 Issue No.를 이 칸에 적습니다. 실행 단계에서 채움 — 노란 셀</t>
        </is>
      </c>
    </row>
    <row r="26">
      <c r="B26" s="66" t="inlineStr">
        <is>
          <t>Comment</t>
        </is>
      </c>
      <c r="C26" s="66" t="inlineStr">
        <is>
          <t>수행 중 기록</t>
        </is>
      </c>
      <c r="D26" s="66" t="inlineStr">
        <is>
          <t>TC를 수행하다 생긴 문제·관찰을 실행 단계에서 적습니다 — 노란 셀. 설계 시점에는 비어 있습니다</t>
        </is>
      </c>
    </row>
    <row r="27">
      <c r="B27" s="66" t="inlineStr">
        <is>
          <t>Note</t>
        </is>
      </c>
      <c r="C27" s="66" t="inlineStr">
        <is>
          <t>수행 전 참고사항</t>
        </is>
      </c>
      <c r="D27" s="66" t="inlineStr">
        <is>
          <t>사람이 읽을 안내만 담습니다 — ①함께 볼 것 ②수행 방법 ③조건 만드는 법. 케이스 메타는 2026-08-03 개정으로 TC ID·검증유형 열이 따로 갖습니다. 스텝 범위 세로 병합</t>
        </is>
      </c>
    </row>
    <row r="28">
      <c r="B28" s="66" t="inlineStr">
        <is>
          <t>TC ID</t>
        </is>
      </c>
      <c r="C28" s="66" t="inlineStr">
        <is>
          <t>조인 키</t>
        </is>
      </c>
      <c r="D28" s="66" t="inlineStr">
        <is>
          <t>행마다 반복. 자동화 케이스명·추적 매트릭스·이슈 연결이 참조합니다. 사람의 실행 동선에서 빼려고 Note 우측 참조 블록에 둡니다</t>
        </is>
      </c>
    </row>
    <row r="29">
      <c r="B29" s="66" t="inlineStr">
        <is>
          <t>검증유형</t>
        </is>
      </c>
      <c r="C29" s="66" t="inlineStr">
        <is>
          <t>판정 방식</t>
        </is>
      </c>
      <c r="D29" s="66" t="inlineStr">
        <is>
          <t>행마다 반복(드롭다운 4종). 반복 횟수는 시트에 적지 않습니다 — 수동 실행자가 자기에게 내려진 지시로 오독하기 때문입니다. 반복은 자동화가 수행하며, 사람은 어떤 유형이든 1회입니다. 확률적·루브릭을 사람이 1회 수행했다면 결과는 Pass가 아니라 관찰 기록이고, 판정은 자동화 반복이나 채점이 담당합니다</t>
        </is>
      </c>
    </row>
    <row r="30">
      <c r="B30" s="66" t="inlineStr">
        <is>
          <t>상태</t>
        </is>
      </c>
      <c r="C30" s="66" t="inlineStr">
        <is>
          <t>케이스가 밟는 게이팅·세션 상태 (2026-08-04 신설)</t>
        </is>
      </c>
      <c r="D30" s="66" t="inlineStr">
        <is>
          <t>행마다 반복. 값 5종은 목록 시트가 정본이고 복수 상태는 쉼표로 적습니다(전환 케이스 — 드롭다운을 걸지 않는 이유). 자동 필터를 「포함」 조건으로 걸어 상태별 TC를 추출하고, 트리의 [상태:] 선언과 맞물려 잎×상태 커버리지를 대조합니다</t>
        </is>
      </c>
    </row>
    <row r="32">
      <c r="B32" s="51" t="inlineStr">
        <is>
          <t>3. 상태값 정의</t>
        </is>
      </c>
    </row>
    <row r="33">
      <c r="B33" s="67" t="inlineStr">
        <is>
          <t>상태</t>
        </is>
      </c>
      <c r="C33" s="67" t="inlineStr">
        <is>
          <t>정의</t>
        </is>
      </c>
      <c r="D33" s="67" t="inlineStr">
        <is>
          <t>Pass율 분모</t>
        </is>
      </c>
    </row>
    <row r="34">
      <c r="B34" s="66" t="inlineStr">
        <is>
          <t>Pass</t>
        </is>
      </c>
      <c r="C34" s="66" t="inlineStr">
        <is>
          <t>성공</t>
        </is>
      </c>
      <c r="D34" s="66" t="inlineStr">
        <is>
          <t>포함</t>
        </is>
      </c>
    </row>
    <row r="35">
      <c r="B35" s="66" t="inlineStr">
        <is>
          <t>Fail</t>
        </is>
      </c>
      <c r="C35" s="66" t="inlineStr">
        <is>
          <t>실패</t>
        </is>
      </c>
      <c r="D35" s="66" t="inlineStr">
        <is>
          <t>포함</t>
        </is>
      </c>
    </row>
    <row r="36">
      <c r="B36" s="66" t="inlineStr">
        <is>
          <t>NI</t>
        </is>
      </c>
      <c r="C36" s="66" t="inlineStr">
        <is>
          <t>미구현이거나 스펙에 없어 실행 대상이 아님 (Not Implemented)</t>
        </is>
      </c>
      <c r="D36" s="66" t="inlineStr">
        <is>
          <t>제외</t>
        </is>
      </c>
    </row>
    <row r="37">
      <c r="B37" s="66" t="inlineStr">
        <is>
          <t>Blocked</t>
        </is>
      </c>
      <c r="C37" s="66" t="inlineStr">
        <is>
          <t>기능은 구현됐으나 확인할 수 없는 상태 — 선행 케이스 Fail·환경 결함·데이터 준비 불가 등. 사유는 실행 과정에서 Comment에 적습니다</t>
        </is>
      </c>
      <c r="D37" s="66" t="inlineStr">
        <is>
          <t>제외</t>
        </is>
      </c>
    </row>
    <row r="38">
      <c r="B38" s="70" t="inlineStr">
        <is>
          <t>Pass율 = Pass ÷ (Pass + Fail). NI·Blocked를 분모에 넣지 않는 이유는 결함 1건이 후속 Blocked 수만큼 중복 계상되는 것을 막기 위해서입니다.</t>
        </is>
      </c>
    </row>
    <row r="40">
      <c r="B40" s="51" t="inlineStr">
        <is>
          <t>4. Total Result 규칙</t>
        </is>
      </c>
    </row>
    <row r="41">
      <c r="B41" s="67" t="inlineStr">
        <is>
          <t>항목</t>
        </is>
      </c>
      <c r="C41" s="67" t="inlineStr">
        <is>
          <t>규칙</t>
        </is>
      </c>
    </row>
    <row r="42">
      <c r="B42" s="66" t="inlineStr">
        <is>
          <t>우선순위</t>
        </is>
      </c>
      <c r="C42" s="66" t="inlineStr">
        <is>
          <t>Fail &gt; Blocked &gt; NI &gt; Pass — 스텝 중 하나라도 Fail이면 케이스 Fail</t>
        </is>
      </c>
    </row>
    <row r="43">
      <c r="B43" s="66" t="inlineStr">
        <is>
          <t>수식 원형</t>
        </is>
      </c>
      <c r="C43" s="66" t="inlineStr">
        <is>
          <t>IF(COUNTIF(범위,"Fail")&gt;0,"Fail",IF(COUNTIF(범위,"Blocked")&gt;0,"Blocked",IF(COUNTIF(범위,"NI")&gt;0,"NI",IF(COUNTIF(범위,"Pass")&gt;0,"Pass","")))) — 셀에는 앞에 = 를 붙여 사용합니다. 아무것도 실행되지 않은 케이스는 빈칸입니다</t>
        </is>
      </c>
    </row>
    <row r="44">
      <c r="B44" s="66" t="inlineStr">
        <is>
          <t>병합</t>
        </is>
      </c>
      <c r="C44" s="66" t="inlineStr">
        <is>
          <t>하지 않습니다 — 데이터 한 행씩 세웁니다. 같은 플랫폼에 단말이 여럿일 때 그 행의 단말 결과를 하나로 요약하는 자리입니다</t>
        </is>
      </c>
    </row>
    <row r="46">
      <c r="B46" s="51" t="inlineStr">
        <is>
          <t>5. TC ID 체계</t>
        </is>
      </c>
    </row>
    <row r="47">
      <c r="B47" s="67" t="inlineStr">
        <is>
          <t>항목</t>
        </is>
      </c>
      <c r="C47" s="67" t="inlineStr">
        <is>
          <t>규칙</t>
        </is>
      </c>
    </row>
    <row r="48">
      <c r="B48" s="66" t="inlineStr">
        <is>
          <t>형식</t>
        </is>
      </c>
      <c r="C48" s="66" t="inlineStr">
        <is>
          <t>TC-{영역코드}-{번호 3자리} — 예: TC-ENT-001</t>
        </is>
      </c>
    </row>
    <row r="49">
      <c r="B49" s="66" t="inlineStr">
        <is>
          <t>번호</t>
        </is>
      </c>
      <c r="C49" s="66" t="inlineStr">
        <is>
          <t>영역 안에서만 증가합니다. 다른 영역에 케이스가 추가돼도 기존 ID가 흔들리지 않습니다</t>
        </is>
      </c>
    </row>
    <row r="50">
      <c r="B50" s="66" t="inlineStr">
        <is>
          <t>영역코드</t>
        </is>
      </c>
      <c r="C50" s="66" t="inlineStr">
        <is>
          <t>기능 트리 1-Depth당 하나. 프로젝트별 매핑표는 아래 §5-1이며, 정의가 없는 프로젝트에서는 그 절이 나오지 않습니다</t>
        </is>
      </c>
    </row>
    <row r="51">
      <c r="B51" s="66" t="inlineStr">
        <is>
          <t>기재 위치</t>
        </is>
      </c>
      <c r="C51" s="66" t="inlineStr">
        <is>
          <t>Note의 첫 토큰(케이스 메타의 맨 앞). 자동화 케이스명·추적 매트릭스·이슈 연결이 이 ID를 참조합니다. Comment는 설계 시점에 비어 있는 실행 기록 칸이므로 설계 데이터를 두지 않습니다</t>
        </is>
      </c>
    </row>
    <row r="53">
      <c r="B53" s="51" t="inlineStr">
        <is>
          <t>5-1. 영역코드 매핑</t>
        </is>
      </c>
    </row>
    <row r="54">
      <c r="B54" s="70" t="inlineStr">
        <is>
          <t>키는 기능 트리 1-Depth 영역명이며, 이슈 관리 시트 「레이블」 목록과 같은 값을 씁니다. 코드는 영문 표기의 앞 세 글자이고, 한 영역에 하나씩만 둡니다. 정본은 TC 설계 입력(tc-input json)의 area_codes입니다.</t>
        </is>
      </c>
    </row>
    <row r="55">
      <c r="B55" s="67" t="inlineStr">
        <is>
          <t>영역 (기능 트리 1-Depth)</t>
        </is>
      </c>
      <c r="C55" s="67" t="inlineStr">
        <is>
          <t>코드</t>
        </is>
      </c>
      <c r="D55" s="67" t="inlineStr">
        <is>
          <t>영문 표기</t>
        </is>
      </c>
      <c r="E55" s="67" t="inlineStr">
        <is>
          <t>TC ID 예</t>
        </is>
      </c>
    </row>
    <row r="56">
      <c r="B56" s="66" t="inlineStr">
        <is>
          <t>앱 진입/세션</t>
        </is>
      </c>
      <c r="C56" s="66" t="inlineStr">
        <is>
          <t>ENT</t>
        </is>
      </c>
      <c r="D56" s="66" t="inlineStr">
        <is>
          <t>Entry &amp; Session</t>
        </is>
      </c>
      <c r="E56" s="66" t="inlineStr">
        <is>
          <t>TC-ENT-001</t>
        </is>
      </c>
    </row>
    <row r="57">
      <c r="B57" s="66" t="inlineStr">
        <is>
          <t>계정/게이팅</t>
        </is>
      </c>
      <c r="C57" s="66" t="inlineStr">
        <is>
          <t>GAT</t>
        </is>
      </c>
      <c r="D57" s="66" t="inlineStr">
        <is>
          <t>Gating (account &amp; age)</t>
        </is>
      </c>
      <c r="E57" s="66" t="inlineStr">
        <is>
          <t>TC-GAT-001</t>
        </is>
      </c>
    </row>
    <row r="58">
      <c r="B58" s="66" t="inlineStr">
        <is>
          <t>탐색/발견</t>
        </is>
      </c>
      <c r="C58" s="66" t="inlineStr">
        <is>
          <t>DSC</t>
        </is>
      </c>
      <c r="D58" s="66" t="inlineStr">
        <is>
          <t>Discovery</t>
        </is>
      </c>
      <c r="E58" s="66" t="inlineStr">
        <is>
          <t>TC-DSC-001</t>
        </is>
      </c>
    </row>
    <row r="59">
      <c r="B59" s="66" t="inlineStr">
        <is>
          <t>유저 페르소나</t>
        </is>
      </c>
      <c r="C59" s="66" t="inlineStr">
        <is>
          <t>PRF</t>
        </is>
      </c>
      <c r="D59" s="66" t="inlineStr">
        <is>
          <t>Profile (dialogue persona)</t>
        </is>
      </c>
      <c r="E59" s="66" t="inlineStr">
        <is>
          <t>TC-PRF-001</t>
        </is>
      </c>
    </row>
    <row r="60">
      <c r="B60" s="66" t="inlineStr">
        <is>
          <t>재화</t>
        </is>
      </c>
      <c r="C60" s="66" t="inlineStr">
        <is>
          <t>CUR</t>
        </is>
      </c>
      <c r="D60" s="66" t="inlineStr">
        <is>
          <t>Currency</t>
        </is>
      </c>
      <c r="E60" s="66" t="inlineStr">
        <is>
          <t>TC-CUR-001</t>
        </is>
      </c>
    </row>
    <row r="61">
      <c r="B61" s="66" t="inlineStr">
        <is>
          <t>서사 시스템</t>
        </is>
      </c>
      <c r="C61" s="66" t="inlineStr">
        <is>
          <t>NAR</t>
        </is>
      </c>
      <c r="D61" s="66" t="inlineStr">
        <is>
          <t>Narrative</t>
        </is>
      </c>
      <c r="E61" s="66" t="inlineStr">
        <is>
          <t>TC-NAR-001</t>
        </is>
      </c>
    </row>
    <row r="62">
      <c r="B62" s="66" t="inlineStr">
        <is>
          <t>대화 세션</t>
        </is>
      </c>
      <c r="C62" s="66" t="inlineStr">
        <is>
          <t>CHT</t>
        </is>
      </c>
      <c r="D62" s="66" t="inlineStr">
        <is>
          <t>Chat session</t>
        </is>
      </c>
      <c r="E62" s="66" t="inlineStr">
        <is>
          <t>TC-CHT-001</t>
        </is>
      </c>
    </row>
    <row r="63">
      <c r="B63" s="66" t="inlineStr">
        <is>
          <t>세이브/로드</t>
        </is>
      </c>
      <c r="C63" s="66" t="inlineStr">
        <is>
          <t>SAV</t>
        </is>
      </c>
      <c r="D63" s="66" t="inlineStr">
        <is>
          <t>Save &amp; Load</t>
        </is>
      </c>
      <c r="E63" s="66" t="inlineStr">
        <is>
          <t>TC-SAV-001</t>
        </is>
      </c>
    </row>
    <row r="64">
      <c r="B64" s="66" t="inlineStr">
        <is>
          <t>메모리/컨텍스트</t>
        </is>
      </c>
      <c r="C64" s="66" t="inlineStr">
        <is>
          <t>MEM</t>
        </is>
      </c>
      <c r="D64" s="66" t="inlineStr">
        <is>
          <t>Memory &amp; Context</t>
        </is>
      </c>
      <c r="E64" s="66" t="inlineStr">
        <is>
          <t>TC-MEM-001</t>
        </is>
      </c>
    </row>
    <row r="65">
      <c r="B65" s="66" t="inlineStr">
        <is>
          <t>입력/출력 세이프티</t>
        </is>
      </c>
      <c r="C65" s="66" t="inlineStr">
        <is>
          <t>SAF</t>
        </is>
      </c>
      <c r="D65" s="66" t="inlineStr">
        <is>
          <t>Safety (input &amp; output)</t>
        </is>
      </c>
      <c r="E65" s="66" t="inlineStr">
        <is>
          <t>TC-SAF-001</t>
        </is>
      </c>
    </row>
    <row r="67">
      <c r="B67" s="51" t="inlineStr">
        <is>
          <t>6. 플랫폼 열 규칙</t>
        </is>
      </c>
    </row>
    <row r="68">
      <c r="B68" s="67" t="inlineStr">
        <is>
          <t>항목</t>
        </is>
      </c>
      <c r="C68" s="67" t="inlineStr">
        <is>
          <t>규칙</t>
        </is>
      </c>
    </row>
    <row r="69">
      <c r="B69" s="66" t="inlineStr">
        <is>
          <t>기본값</t>
        </is>
      </c>
      <c r="C69" s="66" t="inlineStr">
        <is>
          <t>마스터는 Web / And / iOS 3열</t>
        </is>
      </c>
    </row>
    <row r="70">
      <c r="B70" s="66" t="inlineStr">
        <is>
          <t>프로젝트 조정</t>
        </is>
      </c>
      <c r="C70" s="66" t="inlineStr">
        <is>
          <t>TC 설계 시작 시 대상 플랫폼을 사용자에게 재확인하고, Test Case의 Total Result·Result 하위 열과 Summary의 플랫폼 열을 함께 조정합니다</t>
        </is>
      </c>
    </row>
    <row r="72">
      <c r="B72" s="51" t="inlineStr">
        <is>
          <t>7. 입력 규칙</t>
        </is>
      </c>
    </row>
    <row r="73">
      <c r="B73" s="67" t="inlineStr">
        <is>
          <t>항목</t>
        </is>
      </c>
      <c r="C73" s="67" t="inlineStr">
        <is>
          <t>규칙</t>
        </is>
      </c>
    </row>
    <row r="74">
      <c r="B74" s="66" t="inlineStr">
        <is>
          <t>실행 채움 셀(노랑)</t>
        </is>
      </c>
      <c r="C74" s="66" t="inlineStr">
        <is>
          <t>설계 시점에는 비어 있고 실행 단계에서 채워지는 칸 — 환경 블록·Result·Issue No.·Comment. 채우는 주체가 사람이든 자동화든 설계자는 건드리지 않습니다. 설계 데이터는 노란 칸에 두지 않습니다</t>
        </is>
      </c>
    </row>
    <row r="75">
      <c r="B75" s="66" t="inlineStr">
        <is>
          <t>설계 셀</t>
        </is>
      </c>
      <c r="C75" s="66" t="inlineStr">
        <is>
          <t>Depth·절차·기대결과는 실행 중 수정하지 않습니다</t>
        </is>
      </c>
    </row>
    <row r="76">
      <c r="B76" s="66" t="inlineStr">
        <is>
          <t>틀 고정</t>
        </is>
      </c>
      <c r="C76" s="66" t="inlineStr">
        <is>
          <t>데이터 첫 행 위. 스크롤해도 2행 제목·헤더·환경 블록이 남으며, 그 구간은 회색(#BFBFBF)과 Total/Result 띠(#F9D7BE)로 데이터와 갈라 둡니다. A열과 1행은 값도 색도 두지 않습니다</t>
        </is>
      </c>
    </row>
    <row r="77">
      <c r="B77" s="66" t="inlineStr">
        <is>
          <t>자동 필터</t>
        </is>
      </c>
      <c r="C77" s="66" t="inlineStr">
        <is>
          <t>헤더 행에 걸어 둡니다. 실행 주체·검증유형·Priority처럼 케이스 단위 값으로 거르면 한 케이스의 행이 통째로 남거나 빠져 스텝 범위 병합이 깨지지 않습니다. Result 같은 행 단위 값으로 거르면 케이스 중간이 잘려 병합이 어색해집니다</t>
        </is>
      </c>
    </row>
    <row r="78">
      <c r="B78" s="66" t="inlineStr">
        <is>
          <t>뎁스 채움 색</t>
        </is>
      </c>
      <c r="C78" s="66" t="inlineStr">
        <is>
          <t>뎁스 열의 값 있는 셀만 텍스트별 고유색으로 채웁니다 — 같은 텍스트는 같은 색, 인접한 다른 텍스트와는 색상환에서 멀어지게 배정. 케이스명 칸과 빈칸은 흰 배경. 규칙 정본은 xlsx-design-guide.md §5</t>
        </is>
      </c>
    </row>
    <row r="79">
      <c r="B79" s="66" t="inlineStr">
        <is>
          <t>기준 골격 버전</t>
        </is>
      </c>
      <c r="C79" s="66" t="inlineStr">
        <is>
          <t>Summary C4에 생성 스크립트가 자동 기입합니다 — 형식 {프로젝트}-tree-v{X.Y}. TC 설계 입력(tc-input json)의 값을 그대로 쓰므로 사람이 옮겨 적지 않습니다</t>
        </is>
      </c>
    </row>
    <row r="81">
      <c r="B81" s="51" t="inlineStr">
        <is>
          <t>8. 컬럼 정의 (이슈 관리 시트)</t>
        </is>
      </c>
    </row>
    <row r="82">
      <c r="B82" s="70" t="inlineStr">
        <is>
          <t>이슈 기록의 정본은 test-case/{프로젝트}-issues.json입니다. TC 설계 원본과 파일을 나눈 이유는 크기가 아니라 생명주기입니다 — TC 세트는 확정되면 고정되지만 이슈는 실행하면서 계속 늘고 상태가 바뀌므로, 한 파일에 두면 이슈 갱신 때마다 설계 원본이 변경되어 확정 시점이 흐려집니다.</t>
        </is>
      </c>
    </row>
    <row r="83">
      <c r="B83" s="67" t="inlineStr">
        <is>
          <t>컬럼</t>
        </is>
      </c>
      <c r="C83" s="67" t="inlineStr">
        <is>
          <t>내용</t>
        </is>
      </c>
      <c r="D83" s="67" t="inlineStr">
        <is>
          <t>채우는 규칙</t>
        </is>
      </c>
    </row>
    <row r="84">
      <c r="B84" s="66" t="inlineStr">
        <is>
          <t>프로젝트 ID</t>
        </is>
      </c>
      <c r="C84" s="66" t="inlineStr">
        <is>
          <t>프로젝트 식별자</t>
        </is>
      </c>
      <c r="D84" s="66" t="inlineStr">
        <is>
          <t>SUT명 기준. 목록 시트 참조</t>
        </is>
      </c>
    </row>
    <row r="85">
      <c r="B85" s="66" t="inlineStr">
        <is>
          <t>Issue No.</t>
        </is>
      </c>
      <c r="C85" s="66" t="inlineStr">
        <is>
          <t>발생한 이슈의 식별자</t>
        </is>
      </c>
      <c r="D85" s="66" t="inlineStr">
        <is>
          <t>발생한 이슈를 등록하며 부여합니다 — {프로젝트}-{생성 번호순} (1 &gt; 2 &gt; 3 &gt; …). TC 수행 중 발생한 이슈라면 이 번호를 Test Case 시트의 Issue No.에 적어 잇습니다</t>
        </is>
      </c>
    </row>
    <row r="86">
      <c r="B86" s="66" t="inlineStr">
        <is>
          <t>이슈 상태</t>
        </is>
      </c>
      <c r="C86" s="66" t="inlineStr">
        <is>
          <t>이슈의 현재 상태</t>
        </is>
      </c>
      <c r="D86" s="66" t="inlineStr">
        <is>
          <t>Open: 열린 상태(재현됨) / In Progress: 담당자가 수정 진행 중 / Resolved: 해결됨 / Reopen: 해결된 이슈가 재현되어 다시 엶 / Closed: 재현되지 않아 닫음</t>
        </is>
      </c>
    </row>
    <row r="87">
      <c r="B87" s="66" t="inlineStr">
        <is>
          <t>요약(Summary)</t>
        </is>
      </c>
      <c r="C87" s="66" t="inlineStr">
        <is>
          <t>이슈 제목</t>
        </is>
      </c>
      <c r="D87" s="66" t="inlineStr">
        <is>
          <t>재현 경로 요약 — 문단 구분은 "&gt;", 마지막은 무엇이 잘못됐는지 수동태로.
ex) rules/ 폴더 이동 &gt; A.md 실행 시, 크래시 발생됨</t>
        </is>
      </c>
    </row>
    <row r="88">
      <c r="B88" s="66" t="inlineStr">
        <is>
          <t>설명</t>
        </is>
      </c>
      <c r="C88" s="66" t="inlineStr">
        <is>
          <t>재현 방법 상세</t>
        </is>
      </c>
      <c r="D88" s="66" t="inlineStr">
        <is>
          <t>Pre-condition(사전 조건) / Reproduce Step(재현 스텝) / Actual Result(실제 결과, ~됨) / Expected Result(기대 결과, ~되어야 함) / QA Comment(참고) 순서로 작성</t>
        </is>
      </c>
    </row>
    <row r="89">
      <c r="B89" s="66" t="inlineStr">
        <is>
          <t>우선순위</t>
        </is>
      </c>
      <c r="C89" s="66" t="inlineStr">
        <is>
          <t>이슈 심각도</t>
        </is>
      </c>
      <c r="D89" s="66" t="inlineStr">
        <is>
          <t>High: 크래시·진입 불가 등 치명 / Medium: 진입은 되나 기능 미동작 / Low: 문구·표기 오류</t>
        </is>
      </c>
    </row>
    <row r="90">
      <c r="B90" s="66" t="inlineStr">
        <is>
          <t>빈도</t>
        </is>
      </c>
      <c r="C90" s="66" t="inlineStr">
        <is>
          <t>발생 빈도</t>
        </is>
      </c>
      <c r="D90" s="66" t="inlineStr">
        <is>
          <t>Always: 항상 / Often: 종종(70% 이상) / Sometimes: 가끔(70% 미만) / Once: 1회만</t>
        </is>
      </c>
    </row>
    <row r="91">
      <c r="B91" s="66" t="inlineStr">
        <is>
          <t>영향 받는 버전</t>
        </is>
      </c>
      <c r="C91" s="66" t="inlineStr">
        <is>
          <t>이슈가 재현되는 빌드</t>
        </is>
      </c>
      <c r="D91" s="66" t="inlineStr">
        <is>
          <t>{테스트환경}_{개발목표버전}_{스프린트}_{확인버전} 네 토막.
테스트환경=어디서 확인했는가(PC웹) / 개발목표버전=무엇을 향해 개발 중인가(Ver1.0) / 스프린트=그 목표 버전의 주 목표(Dev, RT1=Release Train 1차) / 확인버전=그 시점의 RC 빌드(RC=Release Candidate).
ex) PC웹_Ver1.0_Dev_RC1 · PC웹_Ver1.1_RT1_RC1. 목록 시트 참조(수정 버전과 공용).
확인버전은 검증 대상 빌드가 바뀔 때마다 올리며, SUT를 직접 만드는 프로젝트는 그 값을 SUT 푸터에 표시합니다</t>
        </is>
      </c>
    </row>
    <row r="92">
      <c r="B92" s="66" t="inlineStr">
        <is>
          <t>수정 버전</t>
        </is>
      </c>
      <c r="C92" s="66" t="inlineStr">
        <is>
          <t>이슈가 수정된 버전</t>
        </is>
      </c>
      <c r="D92" s="66" t="inlineStr">
        <is>
          <t>영향 받는 버전과 같은 목록을 사용합니다</t>
        </is>
      </c>
    </row>
    <row r="93">
      <c r="B93" s="66" t="inlineStr">
        <is>
          <t>해결책</t>
        </is>
      </c>
      <c r="C93" s="66" t="inlineStr">
        <is>
          <t>수정 방향</t>
        </is>
      </c>
      <c r="D93" s="66" t="inlineStr">
        <is>
          <t>Fixed: 코드 수정으로 대응 / Won't Do: 환경·기술 지원 불가로 미대응 / Won't Fix: 수정 필요하나 지금은 안 함 / Duplicate: 동일 건 존재 / Incomplete: 이슈 자체가 잘못됨 / Cannot Reproduce: 재현 불가 / Done: 기획·정책 결정으로 이슈 아님 확정 / Declined(QA Only): QA선에서 이슈로 보지 않음</t>
        </is>
      </c>
    </row>
    <row r="94">
      <c r="B94" s="66" t="inlineStr">
        <is>
          <t>환경</t>
        </is>
      </c>
      <c r="C94" s="66" t="inlineStr">
        <is>
          <t>발생 디바이스</t>
        </is>
      </c>
      <c r="D94" s="66" t="inlineStr">
        <is>
          <t>PC웹 / Android / iOS</t>
        </is>
      </c>
    </row>
    <row r="95">
      <c r="B95" s="66" t="inlineStr">
        <is>
          <t>레이블</t>
        </is>
      </c>
      <c r="C95" s="66" t="inlineStr">
        <is>
          <t>발생 영역</t>
        </is>
      </c>
      <c r="D95" s="66" t="inlineStr">
        <is>
          <t>기능 트리 1-Depth 영역명 — 목록 시트 참조. 트리 개정 시 목록만 갱신하고 기존 행 값은 소급 변경하지 않습니다</t>
        </is>
      </c>
    </row>
    <row r="96">
      <c r="B96" s="66" t="inlineStr">
        <is>
          <t>보고자</t>
        </is>
      </c>
      <c r="C96" s="66" t="inlineStr">
        <is>
          <t>이슈 등록자</t>
        </is>
      </c>
      <c r="D96" s="66" t="inlineStr">
        <is>
          <t>목록 참조</t>
        </is>
      </c>
    </row>
    <row r="97">
      <c r="B97" s="66" t="inlineStr">
        <is>
          <t>담당자</t>
        </is>
      </c>
      <c r="C97" s="66" t="inlineStr">
        <is>
          <t>이슈 수정 담당자</t>
        </is>
      </c>
      <c r="D97" s="66" t="inlineStr">
        <is>
          <t>목록 참조</t>
        </is>
      </c>
    </row>
    <row r="98">
      <c r="B98" s="66" t="inlineStr">
        <is>
          <t>관측자</t>
        </is>
      </c>
      <c r="C98" s="66" t="inlineStr">
        <is>
          <t>함께 팔로우할 인원</t>
        </is>
      </c>
      <c r="D98" s="66" t="inlineStr">
        <is>
          <t>드롭다운 없음 — 쉼표 구분 자유 입력(멀티 선택은 xlsx 표준 기능에 없음)</t>
        </is>
      </c>
    </row>
    <row r="99">
      <c r="B99" s="66" t="inlineStr">
        <is>
          <t>첨부파일</t>
        </is>
      </c>
      <c r="C99" s="66" t="inlineStr">
        <is>
          <t>재현 증적</t>
        </is>
      </c>
      <c r="D99" s="66" t="inlineStr">
        <is>
          <t>재현 영상·이미지의 경로 또는 링크</t>
        </is>
      </c>
    </row>
    <row r="100">
      <c r="B100" s="66" t="inlineStr">
        <is>
          <t>스프린트</t>
        </is>
      </c>
      <c r="C100" s="66" t="inlineStr">
        <is>
          <t>QA 진행 단위</t>
        </is>
      </c>
      <c r="D100" s="66" t="inlineStr">
        <is>
          <t>영향 받는 버전에서 확인버전(RC)을 뺀 앞 세 토막 — {테스트환경}_{개발목표버전}_{스프린트}. 스프린트 하나가 RC1·RC2·RC3에 걸치므로 스프린트는 사이클을, 버전은 그 안의 빌드를 가리킵니다. 발견 단계도 이 칸으로 갈립니다 — ex) PC웹_Ver1.0_Dev(개발 단계 자체 발견) / PC웹_Ver1.0_RT1(QA 사이클 검출). 목록 참조</t>
        </is>
      </c>
    </row>
    <row r="101">
      <c r="B101" s="66" t="inlineStr">
        <is>
          <t>이슈 등록일</t>
        </is>
      </c>
      <c r="C101" s="66" t="inlineStr">
        <is>
          <t>최초 등록일</t>
        </is>
      </c>
      <c r="D101" s="66" t="inlineStr">
        <is>
          <t>YYYY-MM-DD. 이후 변경하지 않습니다</t>
        </is>
      </c>
    </row>
    <row r="102">
      <c r="B102" s="66" t="inlineStr">
        <is>
          <t>이슈 최종 수정일자</t>
        </is>
      </c>
      <c r="C102" s="66" t="inlineStr">
        <is>
          <t>내용 최종 수정일</t>
        </is>
      </c>
      <c r="D102" s="66" t="inlineStr">
        <is>
          <t>YYYY-MM-DD. 요약·설명 등 내용이 바뀔 때 갱신</t>
        </is>
      </c>
    </row>
    <row r="103">
      <c r="B103" s="66" t="inlineStr">
        <is>
          <t>이슈 상태 최종 변경일자</t>
        </is>
      </c>
      <c r="C103" s="66" t="inlineStr">
        <is>
          <t>상태 최종 변경일</t>
        </is>
      </c>
      <c r="D103" s="66" t="inlineStr">
        <is>
          <t>YYYY-MM-DD. 이슈 상태가 바뀔 때 갱신</t>
        </is>
      </c>
    </row>
    <row r="105">
      <c r="B105" s="51" t="inlineStr">
        <is>
          <t>9. 목록 시트 규칙</t>
        </is>
      </c>
    </row>
    <row r="106">
      <c r="B106" s="67" t="inlineStr">
        <is>
          <t>항목</t>
        </is>
      </c>
      <c r="C106" s="67" t="inlineStr">
        <is>
          <t>규칙</t>
        </is>
      </c>
    </row>
    <row r="107">
      <c r="B107" s="66" t="inlineStr">
        <is>
          <t>지위</t>
        </is>
      </c>
      <c r="C107" s="66" t="inlineStr">
        <is>
          <t>드롭다운 참조의 정본 — 전 시트의 데이터 검증이 이 시트를 참조합니다</t>
        </is>
      </c>
    </row>
    <row r="108">
      <c r="B108" s="66" t="inlineStr">
        <is>
          <t>노출</t>
        </is>
      </c>
      <c r="C108" s="66" t="inlineStr">
        <is>
          <t>숨기지 않고 맨 뒤 배치 — 값 체계 자체가 전시물입니다</t>
        </is>
      </c>
    </row>
    <row r="109">
      <c r="B109" s="66" t="inlineStr">
        <is>
          <t>갱신</t>
        </is>
      </c>
      <c r="C109" s="66" t="inlineStr">
        <is>
          <t>항목 추가는 행 추가로. 명칭 변경은 목록만 교체하고 기존 데이터 행은 소급 변경하지 않습니다(검증은 신규 입력에만 작동)</t>
        </is>
      </c>
    </row>
    <row r="110">
      <c r="B110" s="66" t="inlineStr">
        <is>
          <t>레이블 동기</t>
        </is>
      </c>
      <c r="C110" s="66" t="inlineStr">
        <is>
          <t>기능 트리 개정 시 레이블 목록을 함께 갱신합니다(정본 수정 체크리스트 연동)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2026-08-03T15:40:52Z</dcterms:created>
  <dcterms:modified xsi:type="dcterms:W3CDTF">2026-08-03T15:40:52Z</dcterms:modified>
</cp:coreProperties>
</file>