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" sheetId="1" state="visible" r:id="rId1"/>
    <sheet name="Summary" sheetId="2" state="visible" r:id="rId2"/>
    <sheet name="이슈 관리 시트" sheetId="3" state="visible" r:id="rId3"/>
    <sheet name="목록" sheetId="4" state="visible" r:id="rId4"/>
    <sheet name="명세서" sheetId="5" state="visible" r:id="rId5"/>
  </sheets>
  <definedNames>
    <definedName name="list_project">목록!$B$3:$B$3</definedName>
    <definedName name="list_exec">목록!$C$3:$C$5</definedName>
    <definedName name="list_state">목록!$D$3:$D$7</definedName>
    <definedName name="list_status">목록!$E$3:$E$7</definedName>
    <definedName name="list_priority">목록!$F$3:$F$5</definedName>
    <definedName name="list_frequency">목록!$G$3:$G$6</definedName>
    <definedName name="list_version">목록!$H$3:$H$6</definedName>
    <definedName name="list_resolution">목록!$I$3:$I$10</definedName>
    <definedName name="list_env">목록!$J$3:$J$3</definedName>
    <definedName name="list_label">목록!$K$3:$K$12</definedName>
    <definedName name="list_reporter">목록!$L$3:$L$3</definedName>
    <definedName name="list_assignee">목록!$M$3:$M$3</definedName>
    <definedName name="list_sprint">목록!$N$3:$N$4</definedName>
    <definedName name="_xlnm._FilterDatabase" localSheetId="0" hidden="1">'Test Case'!$B$4:$S$300</definedName>
    <definedName name="_xlnm._FilterDatabase" localSheetId="2" hidden="1">'이슈 관리 시트'!$B$2:$U$3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맑은 고딕"/>
      <b val="1"/>
      <color rgb="00F3F3F3"/>
      <sz val="11"/>
    </font>
    <font>
      <name val="맑은 고딕"/>
      <b val="1"/>
      <color rgb="00F3F3F3"/>
      <sz val="9"/>
    </font>
    <font>
      <name val="맑은 고딕"/>
      <b val="1"/>
      <color rgb="00000000"/>
      <sz val="9"/>
    </font>
    <font>
      <name val="맑은 고딕"/>
      <color rgb="00333333"/>
      <sz val="8"/>
    </font>
    <font>
      <name val="맑은 고딕"/>
      <color rgb="00000000"/>
      <sz val="9"/>
    </font>
    <font>
      <name val="맑은 고딕"/>
      <b val="1"/>
      <color rgb="00000000"/>
      <sz val="12"/>
    </font>
    <font>
      <name val="맑은 고딕"/>
      <color rgb="00555555"/>
      <sz val="8"/>
    </font>
    <font>
      <name val="맑은 고딕"/>
      <color rgb="00000000"/>
      <sz val="11"/>
    </font>
    <font>
      <name val="맑은 고딕"/>
      <b val="1"/>
      <color rgb="00000000"/>
      <sz val="13"/>
    </font>
    <font>
      <name val="맑은 고딕"/>
      <color rgb="00555555"/>
      <sz val="10"/>
    </font>
  </fonts>
  <fills count="16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BFBFBF"/>
      </patternFill>
    </fill>
    <fill>
      <patternFill patternType="solid">
        <fgColor rgb="00F9D7BE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E0D0EC"/>
      </patternFill>
    </fill>
    <fill>
      <patternFill patternType="solid">
        <fgColor rgb="00D0E9EC"/>
      </patternFill>
    </fill>
    <fill>
      <patternFill patternType="solid">
        <fgColor rgb="00E8D0EC"/>
      </patternFill>
    </fill>
    <fill>
      <patternFill patternType="solid">
        <fgColor rgb="00ECD6D0"/>
      </patternFill>
    </fill>
    <fill>
      <patternFill patternType="solid">
        <fgColor rgb="00E2D0EC"/>
      </patternFill>
    </fill>
    <fill>
      <patternFill patternType="solid">
        <fgColor rgb="00ECD3D0"/>
      </patternFill>
    </fill>
    <fill>
      <patternFill patternType="solid">
        <fgColor rgb="00D0ECDB"/>
      </patternFill>
    </fill>
    <fill>
      <patternFill patternType="solid">
        <fgColor rgb="00D7D0EC"/>
      </patternFill>
    </fill>
    <fill>
      <patternFill patternType="solid">
        <fgColor rgb="00D0ECD5"/>
      </patternFill>
    </fill>
    <fill>
      <patternFill patternType="solid">
        <fgColor rgb="00D4D0EC"/>
      </patternFill>
    </fill>
    <fill>
      <patternFill patternType="solid">
        <fgColor rgb="00D0ECD4"/>
      </patternFill>
    </fill>
    <fill>
      <patternFill patternType="solid">
        <fgColor rgb="00D3D0EC"/>
      </patternFill>
    </fill>
    <fill>
      <patternFill patternType="solid">
        <fgColor rgb="00D0ECE4"/>
      </patternFill>
    </fill>
    <fill>
      <patternFill patternType="solid">
        <fgColor rgb="00D2D0EC"/>
      </patternFill>
    </fill>
    <fill>
      <patternFill patternType="solid">
        <fgColor rgb="00ECE0D0"/>
      </patternFill>
    </fill>
    <fill>
      <patternFill patternType="solid">
        <fgColor rgb="00E7D0EC"/>
      </patternFill>
    </fill>
    <fill>
      <patternFill patternType="solid">
        <fgColor rgb="00DBECD0"/>
      </patternFill>
    </fill>
    <fill>
      <patternFill patternType="solid">
        <fgColor rgb="00ECD2D0"/>
      </patternFill>
    </fill>
    <fill>
      <patternFill patternType="solid">
        <fgColor rgb="00D0ECDC"/>
      </patternFill>
    </fill>
    <fill>
      <patternFill patternType="solid">
        <fgColor rgb="00D6D0EC"/>
      </patternFill>
    </fill>
    <fill>
      <patternFill patternType="solid">
        <fgColor rgb="00D0ECD2"/>
      </patternFill>
    </fill>
    <fill>
      <patternFill patternType="solid">
        <fgColor rgb="00D1D0EC"/>
      </patternFill>
    </fill>
    <fill>
      <patternFill patternType="solid">
        <fgColor rgb="00D0ECD1"/>
      </patternFill>
    </fill>
    <fill>
      <patternFill patternType="solid">
        <fgColor rgb="00D0E5EC"/>
      </patternFill>
    </fill>
    <fill>
      <patternFill patternType="solid">
        <fgColor rgb="00D0EAEC"/>
      </patternFill>
    </fill>
    <fill>
      <patternFill patternType="solid">
        <fgColor rgb="00ECDFD0"/>
      </patternFill>
    </fill>
    <fill>
      <patternFill patternType="solid">
        <fgColor rgb="00E6D0EC"/>
      </patternFill>
    </fill>
    <fill>
      <patternFill patternType="solid">
        <fgColor rgb="00ECE4D0"/>
      </patternFill>
    </fill>
    <fill>
      <patternFill patternType="solid">
        <fgColor rgb="00E9D0EC"/>
      </patternFill>
    </fill>
    <fill>
      <patternFill patternType="solid">
        <fgColor rgb="00E7ECD0"/>
      </patternFill>
    </fill>
    <fill>
      <patternFill patternType="solid">
        <fgColor rgb="00ECD0E3"/>
      </patternFill>
    </fill>
    <fill>
      <patternFill patternType="solid">
        <fgColor rgb="00D0E4EC"/>
      </patternFill>
    </fill>
    <fill>
      <patternFill patternType="solid">
        <fgColor rgb="00E4ECD0"/>
      </patternFill>
    </fill>
    <fill>
      <patternFill patternType="solid">
        <fgColor rgb="00D0DFEC"/>
      </patternFill>
    </fill>
    <fill>
      <patternFill patternType="solid">
        <fgColor rgb="00ECD0E1"/>
      </patternFill>
    </fill>
    <fill>
      <patternFill patternType="solid">
        <fgColor rgb="00DFD0EC"/>
      </patternFill>
    </fill>
    <fill>
      <patternFill patternType="solid">
        <fgColor rgb="00ECDDD0"/>
      </patternFill>
    </fill>
    <fill>
      <patternFill patternType="solid">
        <fgColor rgb="00D0ECE8"/>
      </patternFill>
    </fill>
    <fill>
      <patternFill patternType="solid">
        <fgColor rgb="00D0ECD9"/>
      </patternFill>
    </fill>
    <fill>
      <patternFill patternType="solid">
        <fgColor rgb="00ECD0DB"/>
      </patternFill>
    </fill>
    <fill>
      <patternFill patternType="solid">
        <fgColor rgb="00D0D1EC"/>
      </patternFill>
    </fill>
    <fill>
      <patternFill patternType="solid">
        <fgColor rgb="00ECD7D0"/>
      </patternFill>
    </fill>
    <fill>
      <patternFill patternType="solid">
        <fgColor rgb="00D9D0EC"/>
      </patternFill>
    </fill>
    <fill>
      <patternFill patternType="solid">
        <fgColor rgb="00ECD9D0"/>
      </patternFill>
    </fill>
    <fill>
      <patternFill patternType="solid">
        <fgColor rgb="00ECD0EB"/>
      </patternFill>
    </fill>
    <fill>
      <patternFill patternType="solid">
        <fgColor rgb="00D0ECD6"/>
      </patternFill>
    </fill>
    <fill>
      <patternFill patternType="solid">
        <fgColor rgb="00D5D0EC"/>
      </patternFill>
    </fill>
    <fill>
      <patternFill patternType="solid">
        <fgColor rgb="00D0ECD7"/>
      </patternFill>
    </fill>
    <fill>
      <patternFill patternType="solid">
        <fgColor rgb="00D0ECD8"/>
      </patternFill>
    </fill>
    <fill>
      <patternFill patternType="solid">
        <fgColor rgb="00D8D0EC"/>
      </patternFill>
    </fill>
    <fill>
      <patternFill patternType="solid">
        <fgColor rgb="00DAD0EC"/>
      </patternFill>
    </fill>
    <fill>
      <patternFill patternType="solid">
        <fgColor rgb="00D0E8EC"/>
      </patternFill>
    </fill>
    <fill>
      <patternFill patternType="solid">
        <fgColor rgb="00ECE3D0"/>
      </patternFill>
    </fill>
    <fill>
      <patternFill patternType="solid">
        <fgColor rgb="00DCECD0"/>
      </patternFill>
    </fill>
    <fill>
      <patternFill patternType="solid">
        <fgColor rgb="00ECD0D6"/>
      </patternFill>
    </fill>
    <fill>
      <patternFill patternType="solid">
        <fgColor rgb="00D0E6EC"/>
      </patternFill>
    </fill>
    <fill>
      <patternFill patternType="solid">
        <fgColor rgb="00ECD0DA"/>
      </patternFill>
    </fill>
    <fill>
      <patternFill patternType="solid">
        <fgColor rgb="00D0DBEC"/>
      </patternFill>
    </fill>
    <fill>
      <patternFill patternType="solid">
        <fgColor rgb="00ECD0D0"/>
      </patternFill>
    </fill>
    <fill>
      <patternFill patternType="solid">
        <fgColor rgb="00D6ECD0"/>
      </patternFill>
    </fill>
    <fill>
      <patternFill patternType="solid">
        <fgColor rgb="00D0D4EC"/>
      </patternFill>
    </fill>
    <fill>
      <patternFill patternType="solid">
        <fgColor rgb="00D0EBEC"/>
      </patternFill>
    </fill>
    <fill>
      <patternFill patternType="solid">
        <fgColor rgb="00ECDCD0"/>
      </patternFill>
    </fill>
    <fill>
      <patternFill patternType="solid">
        <fgColor rgb="00E4D0EC"/>
      </patternFill>
    </fill>
    <fill>
      <patternFill patternType="solid">
        <fgColor rgb="00ECD0E5"/>
      </patternFill>
    </fill>
    <fill>
      <patternFill patternType="solid">
        <fgColor rgb="00DEECD0"/>
      </patternFill>
    </fill>
    <fill>
      <patternFill patternType="solid">
        <fgColor rgb="00ECD1D0"/>
      </patternFill>
    </fill>
    <fill>
      <patternFill patternType="solid">
        <fgColor rgb="00D0ECDD"/>
      </patternFill>
    </fill>
    <fill>
      <patternFill patternType="solid">
        <fgColor rgb="00DBD0EC"/>
      </patternFill>
    </fill>
    <fill>
      <patternFill patternType="solid">
        <fgColor rgb="00D0ECDA"/>
      </patternFill>
    </fill>
    <fill>
      <patternFill patternType="solid">
        <fgColor rgb="00DCD0EC"/>
      </patternFill>
    </fill>
    <fill>
      <patternFill patternType="solid">
        <fgColor rgb="00D0D6EC"/>
      </patternFill>
    </fill>
    <fill>
      <patternFill patternType="solid">
        <fgColor rgb="00ECD0D2"/>
      </patternFill>
    </fill>
    <fill>
      <patternFill patternType="solid">
        <fgColor rgb="00D4ECD0"/>
      </patternFill>
    </fill>
    <fill>
      <patternFill patternType="solid">
        <fgColor rgb="00D0D2EC"/>
      </patternFill>
    </fill>
    <fill>
      <patternFill patternType="solid">
        <fgColor rgb="00D0E1EC"/>
      </patternFill>
    </fill>
    <fill>
      <patternFill patternType="solid">
        <fgColor rgb="00ECE2D0"/>
      </patternFill>
    </fill>
    <fill>
      <patternFill patternType="solid">
        <fgColor rgb="00ECD0EC"/>
      </patternFill>
    </fill>
    <fill>
      <patternFill patternType="solid">
        <fgColor rgb="00ECD0E4"/>
      </patternFill>
    </fill>
    <fill>
      <patternFill patternType="solid">
        <fgColor rgb="00D0ECD0"/>
      </patternFill>
    </fill>
    <fill>
      <patternFill patternType="solid">
        <fgColor rgb="00D0DAEC"/>
      </patternFill>
    </fill>
    <fill>
      <patternFill patternType="solid">
        <fgColor rgb="00E0ECD0"/>
      </patternFill>
    </fill>
    <fill>
      <patternFill patternType="solid">
        <fgColor rgb="00D0E2EC"/>
      </patternFill>
    </fill>
    <fill>
      <patternFill patternType="solid">
        <fgColor rgb="00ECD8D0"/>
      </patternFill>
    </fill>
    <fill>
      <patternFill patternType="solid">
        <fgColor rgb="00ECDAD0"/>
      </patternFill>
    </fill>
    <fill>
      <patternFill patternType="solid">
        <fgColor rgb="00E5D0EC"/>
      </patternFill>
    </fill>
    <fill>
      <patternFill patternType="solid">
        <fgColor rgb="00ECE1D0"/>
      </patternFill>
    </fill>
    <fill>
      <patternFill patternType="solid">
        <fgColor rgb="00E6ECD0"/>
      </patternFill>
    </fill>
    <fill>
      <patternFill patternType="solid">
        <fgColor rgb="00ECD0D1"/>
      </patternFill>
    </fill>
    <fill>
      <patternFill patternType="solid">
        <fgColor rgb="00D0DCEC"/>
      </patternFill>
    </fill>
    <fill>
      <patternFill patternType="solid">
        <fgColor rgb="00D7ECD0"/>
      </patternFill>
    </fill>
    <fill>
      <patternFill patternType="solid">
        <fgColor rgb="00D0E3EC"/>
      </patternFill>
    </fill>
    <fill>
      <patternFill patternType="solid">
        <fgColor rgb="00E1D0EC"/>
      </patternFill>
    </fill>
    <fill>
      <patternFill patternType="solid">
        <fgColor rgb="00DDECD0"/>
      </patternFill>
    </fill>
    <fill>
      <patternFill patternType="solid">
        <fgColor rgb="00ECD0D9"/>
      </patternFill>
    </fill>
    <fill>
      <patternFill patternType="solid">
        <fgColor rgb="00DDD0EC"/>
      </patternFill>
    </fill>
    <fill>
      <patternFill patternType="solid">
        <fgColor rgb="00D0ECDE"/>
      </patternFill>
    </fill>
    <fill>
      <patternFill patternType="solid">
        <fgColor rgb="00ECDED0"/>
      </patternFill>
    </fill>
    <fill>
      <patternFill patternType="solid">
        <fgColor rgb="00D0ECDF"/>
      </patternFill>
    </fill>
    <fill>
      <patternFill patternType="solid">
        <fgColor rgb="00D0ECEB"/>
      </patternFill>
    </fill>
    <fill>
      <patternFill patternType="solid">
        <fgColor rgb="00ECD0D7"/>
      </patternFill>
    </fill>
    <fill>
      <patternFill patternType="solid">
        <fgColor rgb="00E2ECD0"/>
      </patternFill>
    </fill>
    <fill>
      <patternFill patternType="solid">
        <fgColor rgb="00ECD0E7"/>
      </patternFill>
    </fill>
    <fill>
      <patternFill patternType="solid">
        <fgColor rgb="00E5ECD0"/>
      </patternFill>
    </fill>
    <fill>
      <patternFill patternType="solid">
        <fgColor rgb="00ECD0E9"/>
      </patternFill>
    </fill>
    <fill>
      <patternFill patternType="solid">
        <fgColor rgb="00DFECD0"/>
      </patternFill>
    </fill>
    <fill>
      <patternFill patternType="solid">
        <fgColor rgb="00E3ECD0"/>
      </patternFill>
    </fill>
    <fill>
      <patternFill patternType="solid">
        <fgColor rgb="00ECD0E8"/>
      </patternFill>
    </fill>
    <fill>
      <patternFill patternType="solid">
        <fgColor rgb="00E1ECD0"/>
      </patternFill>
    </fill>
    <fill>
      <patternFill patternType="solid">
        <fgColor rgb="00ECD0E6"/>
      </patternFill>
    </fill>
    <fill>
      <patternFill patternType="solid">
        <fgColor rgb="00DED0EC"/>
      </patternFill>
    </fill>
    <fill>
      <patternFill patternType="solid">
        <fgColor rgb="00ECD0D3"/>
      </patternFill>
    </fill>
    <fill>
      <patternFill patternType="solid">
        <fgColor rgb="00D0ECE5"/>
      </patternFill>
    </fill>
    <fill>
      <patternFill patternType="solid">
        <fgColor rgb="00D0ECEA"/>
      </patternFill>
    </fill>
    <fill>
      <patternFill patternType="solid">
        <fgColor rgb="00ECD0DF"/>
      </patternFill>
    </fill>
    <fill>
      <patternFill patternType="solid">
        <fgColor rgb="00D8ECD0"/>
      </patternFill>
    </fill>
    <fill>
      <patternFill patternType="solid">
        <fgColor rgb="00ECD0E2"/>
      </patternFill>
    </fill>
    <fill>
      <patternFill patternType="solid">
        <fgColor rgb="00D0ECE9"/>
      </patternFill>
    </fill>
    <fill>
      <patternFill patternType="solid">
        <fgColor rgb="00ECD0E0"/>
      </patternFill>
    </fill>
    <fill>
      <patternFill patternType="solid">
        <fgColor rgb="00D5ECD0"/>
      </patternFill>
    </fill>
    <fill>
      <patternFill patternType="solid">
        <fgColor rgb="00EAD0EC"/>
      </patternFill>
    </fill>
    <fill>
      <patternFill patternType="solid">
        <fgColor rgb="00D0D7EC"/>
      </patternFill>
    </fill>
    <fill>
      <patternFill patternType="solid">
        <fgColor rgb="00ECDBD0"/>
      </patternFill>
    </fill>
    <fill>
      <patternFill patternType="solid">
        <fgColor rgb="00D2ECD0"/>
      </patternFill>
    </fill>
    <fill>
      <patternFill patternType="solid">
        <fgColor rgb="00ECD0D4"/>
      </patternFill>
    </fill>
    <fill>
      <patternFill patternType="solid">
        <fgColor rgb="00D0D8EC"/>
      </patternFill>
    </fill>
    <fill>
      <patternFill patternType="solid">
        <fgColor rgb="00D0ECE7"/>
      </patternFill>
    </fill>
    <fill>
      <patternFill patternType="solid">
        <fgColor rgb="00ECD5D0"/>
      </patternFill>
    </fill>
    <fill>
      <patternFill patternType="solid">
        <fgColor rgb="00D0ECE6"/>
      </patternFill>
    </fill>
    <fill>
      <patternFill patternType="solid">
        <fgColor rgb="00EBD0EC"/>
      </patternFill>
    </fill>
    <fill>
      <patternFill patternType="solid">
        <fgColor rgb="00D0ECE0"/>
      </patternFill>
    </fill>
    <fill>
      <patternFill patternType="solid">
        <fgColor rgb="00ECD4D0"/>
      </patternFill>
    </fill>
    <fill>
      <patternFill patternType="solid">
        <fgColor rgb="00D0E7EC"/>
      </patternFill>
    </fill>
    <fill>
      <patternFill patternType="solid">
        <fgColor rgb="00ECD0DD"/>
      </patternFill>
    </fill>
    <fill>
      <patternFill patternType="solid">
        <fgColor rgb="00D9ECD0"/>
      </patternFill>
    </fill>
    <fill>
      <patternFill patternType="solid">
        <fgColor rgb="00D0DDEC"/>
      </patternFill>
    </fill>
    <fill>
      <patternFill patternType="solid">
        <fgColor rgb="00ECD0DC"/>
      </patternFill>
    </fill>
    <fill>
      <patternFill patternType="solid">
        <fgColor rgb="00D0ECE1"/>
      </patternFill>
    </fill>
    <fill>
      <patternFill patternType="solid">
        <fgColor rgb="00ECD0D5"/>
      </patternFill>
    </fill>
    <fill>
      <patternFill patternType="solid">
        <fgColor rgb="00ECD0D8"/>
      </patternFill>
    </fill>
    <fill>
      <patternFill patternType="solid">
        <fgColor rgb="00DAECD0"/>
      </patternFill>
    </fill>
    <fill>
      <patternFill patternType="solid">
        <fgColor rgb="00D0D5EC"/>
      </patternFill>
    </fill>
    <fill>
      <patternFill patternType="solid">
        <fgColor rgb="00D0D3EC"/>
      </patternFill>
    </fill>
    <fill>
      <patternFill patternType="solid">
        <fgColor rgb="00D0DEEC"/>
      </patternFill>
    </fill>
    <fill>
      <patternFill patternType="solid">
        <fgColor rgb="00ECD0EA"/>
      </patternFill>
    </fill>
    <fill>
      <patternFill patternType="solid">
        <fgColor rgb="00D0D9EC"/>
      </patternFill>
    </fill>
    <fill>
      <patternFill patternType="solid">
        <fgColor rgb="00D0ECE2"/>
      </patternFill>
    </fill>
    <fill>
      <patternFill patternType="solid">
        <fgColor rgb="00ECD0DE"/>
      </patternFill>
    </fill>
    <fill>
      <patternFill patternType="solid">
        <fgColor rgb="00D0ECE3"/>
      </patternFill>
    </fill>
    <fill>
      <patternFill patternType="solid">
        <fgColor rgb="00E3D0EC"/>
      </patternFill>
    </fill>
    <fill>
      <patternFill patternType="solid">
        <fgColor rgb="00D0ECD3"/>
      </patternFill>
    </fill>
    <fill>
      <patternFill patternType="solid">
        <fgColor rgb="00D0D0EC"/>
      </patternFill>
    </fill>
    <fill>
      <patternFill patternType="solid">
        <fgColor rgb="00D1ECD0"/>
      </patternFill>
    </fill>
    <fill>
      <patternFill patternType="solid">
        <fgColor rgb="00D3ECD0"/>
      </patternFill>
    </fill>
    <fill>
      <patternFill patternType="solid">
        <fgColor rgb="00D0E0EC"/>
      </patternFill>
    </fill>
    <fill>
      <patternFill patternType="solid">
        <fgColor rgb="00EDEFF4"/>
      </patternFill>
    </fill>
    <fill>
      <patternFill patternType="solid">
        <fgColor rgb="0044546A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9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0" applyAlignment="1" pivotButton="0" quotePrefix="0" xfId="0">
      <alignment horizontal="right" vertical="center"/>
    </xf>
    <xf numFmtId="0" fontId="0" fillId="3" borderId="0" pivotButton="0" quotePrefix="0" xfId="0"/>
    <xf numFmtId="0" fontId="0" fillId="4" borderId="0" pivotButton="0" quotePrefix="0" xfId="0"/>
    <xf numFmtId="0" fontId="3" fillId="5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left" vertical="center" wrapText="1"/>
    </xf>
    <xf numFmtId="0" fontId="5" fillId="22" borderId="1" applyAlignment="1" pivotButton="0" quotePrefix="0" xfId="0">
      <alignment horizontal="left" vertical="center" wrapText="1"/>
    </xf>
    <xf numFmtId="0" fontId="3" fillId="23" borderId="1" applyAlignment="1" pivotButton="0" quotePrefix="0" xfId="0">
      <alignment horizontal="left" vertical="center" wrapText="1"/>
    </xf>
    <xf numFmtId="0" fontId="5" fillId="24" borderId="1" applyAlignment="1" pivotButton="0" quotePrefix="0" xfId="0">
      <alignment horizontal="left" vertical="center" wrapText="1"/>
    </xf>
    <xf numFmtId="0" fontId="5" fillId="25" borderId="1" applyAlignment="1" pivotButton="0" quotePrefix="0" xfId="0">
      <alignment horizontal="left" vertical="center" wrapText="1"/>
    </xf>
    <xf numFmtId="0" fontId="5" fillId="26" borderId="1" applyAlignment="1" pivotButton="0" quotePrefix="0" xfId="0">
      <alignment horizontal="left" vertical="center" wrapText="1"/>
    </xf>
    <xf numFmtId="0" fontId="5" fillId="27" borderId="1" applyAlignment="1" pivotButton="0" quotePrefix="0" xfId="0">
      <alignment horizontal="left" vertical="center" wrapText="1"/>
    </xf>
    <xf numFmtId="0" fontId="5" fillId="28" borderId="1" applyAlignment="1" pivotButton="0" quotePrefix="0" xfId="0">
      <alignment horizontal="left" vertical="center" wrapText="1"/>
    </xf>
    <xf numFmtId="0" fontId="5" fillId="29" borderId="1" applyAlignment="1" pivotButton="0" quotePrefix="0" xfId="0">
      <alignment horizontal="left" vertical="center" wrapText="1"/>
    </xf>
    <xf numFmtId="0" fontId="5" fillId="30" borderId="1" applyAlignment="1" pivotButton="0" quotePrefix="0" xfId="0">
      <alignment horizontal="left" vertical="center" wrapText="1"/>
    </xf>
    <xf numFmtId="0" fontId="5" fillId="31" borderId="1" applyAlignment="1" pivotButton="0" quotePrefix="0" xfId="0">
      <alignment horizontal="left" vertical="center" wrapText="1"/>
    </xf>
    <xf numFmtId="0" fontId="5" fillId="32" borderId="1" applyAlignment="1" pivotButton="0" quotePrefix="0" xfId="0">
      <alignment horizontal="left" vertical="center" wrapText="1"/>
    </xf>
    <xf numFmtId="0" fontId="5" fillId="33" borderId="1" applyAlignment="1" pivotButton="0" quotePrefix="0" xfId="0">
      <alignment horizontal="left" vertical="center" wrapText="1"/>
    </xf>
    <xf numFmtId="0" fontId="5" fillId="34" borderId="1" applyAlignment="1" pivotButton="0" quotePrefix="0" xfId="0">
      <alignment horizontal="left" vertical="center" wrapText="1"/>
    </xf>
    <xf numFmtId="0" fontId="5" fillId="35" borderId="1" applyAlignment="1" pivotButton="0" quotePrefix="0" xfId="0">
      <alignment horizontal="left" vertical="center" wrapText="1"/>
    </xf>
    <xf numFmtId="0" fontId="5" fillId="36" borderId="1" applyAlignment="1" pivotButton="0" quotePrefix="0" xfId="0">
      <alignment horizontal="left" vertical="center" wrapText="1"/>
    </xf>
    <xf numFmtId="0" fontId="5" fillId="37" borderId="1" applyAlignment="1" pivotButton="0" quotePrefix="0" xfId="0">
      <alignment horizontal="left" vertical="center" wrapText="1"/>
    </xf>
    <xf numFmtId="0" fontId="5" fillId="38" borderId="1" applyAlignment="1" pivotButton="0" quotePrefix="0" xfId="0">
      <alignment horizontal="left" vertical="center" wrapText="1"/>
    </xf>
    <xf numFmtId="0" fontId="5" fillId="39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40" borderId="1" applyAlignment="1" pivotButton="0" quotePrefix="0" xfId="0">
      <alignment horizontal="left" vertical="center" wrapText="1"/>
    </xf>
    <xf numFmtId="0" fontId="5" fillId="41" borderId="1" applyAlignment="1" pivotButton="0" quotePrefix="0" xfId="0">
      <alignment horizontal="left" vertical="center" wrapText="1"/>
    </xf>
    <xf numFmtId="0" fontId="3" fillId="42" borderId="1" applyAlignment="1" pivotButton="0" quotePrefix="0" xfId="0">
      <alignment horizontal="left" vertical="center" wrapText="1"/>
    </xf>
    <xf numFmtId="0" fontId="5" fillId="43" borderId="1" applyAlignment="1" pivotButton="0" quotePrefix="0" xfId="0">
      <alignment horizontal="left" vertical="center" wrapText="1"/>
    </xf>
    <xf numFmtId="0" fontId="5" fillId="44" borderId="1" applyAlignment="1" pivotButton="0" quotePrefix="0" xfId="0">
      <alignment horizontal="left" vertical="center" wrapText="1"/>
    </xf>
    <xf numFmtId="0" fontId="5" fillId="45" borderId="1" applyAlignment="1" pivotButton="0" quotePrefix="0" xfId="0">
      <alignment horizontal="left" vertical="center" wrapText="1"/>
    </xf>
    <xf numFmtId="0" fontId="5" fillId="46" borderId="1" applyAlignment="1" pivotButton="0" quotePrefix="0" xfId="0">
      <alignment horizontal="left" vertical="center" wrapText="1"/>
    </xf>
    <xf numFmtId="0" fontId="5" fillId="47" borderId="1" applyAlignment="1" pivotButton="0" quotePrefix="0" xfId="0">
      <alignment horizontal="left" vertical="center" wrapText="1"/>
    </xf>
    <xf numFmtId="0" fontId="5" fillId="48" borderId="1" applyAlignment="1" pivotButton="0" quotePrefix="0" xfId="0">
      <alignment horizontal="left" vertical="center" wrapText="1"/>
    </xf>
    <xf numFmtId="0" fontId="5" fillId="49" borderId="1" applyAlignment="1" pivotButton="0" quotePrefix="0" xfId="0">
      <alignment horizontal="left" vertical="center" wrapText="1"/>
    </xf>
    <xf numFmtId="0" fontId="5" fillId="50" borderId="1" applyAlignment="1" pivotButton="0" quotePrefix="0" xfId="0">
      <alignment horizontal="left" vertical="center" wrapText="1"/>
    </xf>
    <xf numFmtId="0" fontId="5" fillId="51" borderId="1" applyAlignment="1" pivotButton="0" quotePrefix="0" xfId="0">
      <alignment horizontal="left" vertical="center" wrapText="1"/>
    </xf>
    <xf numFmtId="0" fontId="5" fillId="52" borderId="1" applyAlignment="1" pivotButton="0" quotePrefix="0" xfId="0">
      <alignment horizontal="left" vertical="center" wrapText="1"/>
    </xf>
    <xf numFmtId="0" fontId="5" fillId="53" borderId="1" applyAlignment="1" pivotButton="0" quotePrefix="0" xfId="0">
      <alignment horizontal="left" vertical="center" wrapText="1"/>
    </xf>
    <xf numFmtId="0" fontId="5" fillId="54" borderId="1" applyAlignment="1" pivotButton="0" quotePrefix="0" xfId="0">
      <alignment horizontal="left" vertical="center" wrapText="1"/>
    </xf>
    <xf numFmtId="0" fontId="5" fillId="55" borderId="1" applyAlignment="1" pivotButton="0" quotePrefix="0" xfId="0">
      <alignment horizontal="left" vertical="center" wrapText="1"/>
    </xf>
    <xf numFmtId="0" fontId="5" fillId="56" borderId="1" applyAlignment="1" pivotButton="0" quotePrefix="0" xfId="0">
      <alignment horizontal="left" vertical="center" wrapText="1"/>
    </xf>
    <xf numFmtId="0" fontId="5" fillId="57" borderId="1" applyAlignment="1" pivotButton="0" quotePrefix="0" xfId="0">
      <alignment horizontal="left" vertical="center" wrapText="1"/>
    </xf>
    <xf numFmtId="0" fontId="5" fillId="58" borderId="1" applyAlignment="1" pivotButton="0" quotePrefix="0" xfId="0">
      <alignment horizontal="left" vertical="center" wrapText="1"/>
    </xf>
    <xf numFmtId="0" fontId="5" fillId="59" borderId="1" applyAlignment="1" pivotButton="0" quotePrefix="0" xfId="0">
      <alignment horizontal="left" vertical="center" wrapText="1"/>
    </xf>
    <xf numFmtId="0" fontId="5" fillId="60" borderId="1" applyAlignment="1" pivotButton="0" quotePrefix="0" xfId="0">
      <alignment horizontal="left" vertical="center" wrapText="1"/>
    </xf>
    <xf numFmtId="0" fontId="5" fillId="61" borderId="1" applyAlignment="1" pivotButton="0" quotePrefix="0" xfId="0">
      <alignment horizontal="left" vertical="center" wrapText="1"/>
    </xf>
    <xf numFmtId="0" fontId="5" fillId="62" borderId="1" applyAlignment="1" pivotButton="0" quotePrefix="0" xfId="0">
      <alignment horizontal="left" vertical="center" wrapText="1"/>
    </xf>
    <xf numFmtId="0" fontId="5" fillId="63" borderId="1" applyAlignment="1" pivotButton="0" quotePrefix="0" xfId="0">
      <alignment horizontal="left" vertical="center" wrapText="1"/>
    </xf>
    <xf numFmtId="0" fontId="5" fillId="64" borderId="1" applyAlignment="1" pivotButton="0" quotePrefix="0" xfId="0">
      <alignment horizontal="left" vertical="center" wrapText="1"/>
    </xf>
    <xf numFmtId="0" fontId="5" fillId="65" borderId="1" applyAlignment="1" pivotButton="0" quotePrefix="0" xfId="0">
      <alignment horizontal="left" vertical="center" wrapText="1"/>
    </xf>
    <xf numFmtId="0" fontId="5" fillId="66" borderId="1" applyAlignment="1" pivotButton="0" quotePrefix="0" xfId="0">
      <alignment horizontal="left" vertical="center" wrapText="1"/>
    </xf>
    <xf numFmtId="0" fontId="5" fillId="67" borderId="1" applyAlignment="1" pivotButton="0" quotePrefix="0" xfId="0">
      <alignment horizontal="left" vertical="center" wrapText="1"/>
    </xf>
    <xf numFmtId="0" fontId="5" fillId="68" borderId="1" applyAlignment="1" pivotButton="0" quotePrefix="0" xfId="0">
      <alignment horizontal="left" vertical="center" wrapText="1"/>
    </xf>
    <xf numFmtId="0" fontId="5" fillId="69" borderId="1" applyAlignment="1" pivotButton="0" quotePrefix="0" xfId="0">
      <alignment horizontal="left" vertical="center" wrapText="1"/>
    </xf>
    <xf numFmtId="0" fontId="5" fillId="70" borderId="1" applyAlignment="1" pivotButton="0" quotePrefix="0" xfId="0">
      <alignment horizontal="left" vertical="center" wrapText="1"/>
    </xf>
    <xf numFmtId="0" fontId="5" fillId="71" borderId="1" applyAlignment="1" pivotButton="0" quotePrefix="0" xfId="0">
      <alignment horizontal="left" vertical="center" wrapText="1"/>
    </xf>
    <xf numFmtId="0" fontId="3" fillId="72" borderId="1" applyAlignment="1" pivotButton="0" quotePrefix="0" xfId="0">
      <alignment horizontal="left" vertical="center" wrapText="1"/>
    </xf>
    <xf numFmtId="0" fontId="5" fillId="73" borderId="1" applyAlignment="1" pivotButton="0" quotePrefix="0" xfId="0">
      <alignment horizontal="left" vertical="center" wrapText="1"/>
    </xf>
    <xf numFmtId="0" fontId="5" fillId="74" borderId="1" applyAlignment="1" pivotButton="0" quotePrefix="0" xfId="0">
      <alignment horizontal="left" vertical="center" wrapText="1"/>
    </xf>
    <xf numFmtId="0" fontId="5" fillId="75" borderId="1" applyAlignment="1" pivotButton="0" quotePrefix="0" xfId="0">
      <alignment horizontal="left" vertical="center" wrapText="1"/>
    </xf>
    <xf numFmtId="0" fontId="5" fillId="76" borderId="1" applyAlignment="1" pivotButton="0" quotePrefix="0" xfId="0">
      <alignment horizontal="left" vertical="center" wrapText="1"/>
    </xf>
    <xf numFmtId="0" fontId="5" fillId="77" borderId="1" applyAlignment="1" pivotButton="0" quotePrefix="0" xfId="0">
      <alignment horizontal="left" vertical="center" wrapText="1"/>
    </xf>
    <xf numFmtId="0" fontId="5" fillId="78" borderId="1" applyAlignment="1" pivotButton="0" quotePrefix="0" xfId="0">
      <alignment horizontal="left" vertical="center" wrapText="1"/>
    </xf>
    <xf numFmtId="0" fontId="5" fillId="79" borderId="1" applyAlignment="1" pivotButton="0" quotePrefix="0" xfId="0">
      <alignment horizontal="left" vertical="center" wrapText="1"/>
    </xf>
    <xf numFmtId="0" fontId="5" fillId="80" borderId="1" applyAlignment="1" pivotButton="0" quotePrefix="0" xfId="0">
      <alignment horizontal="left" vertical="center" wrapText="1"/>
    </xf>
    <xf numFmtId="0" fontId="5" fillId="81" borderId="1" applyAlignment="1" pivotButton="0" quotePrefix="0" xfId="0">
      <alignment horizontal="left" vertical="center" wrapText="1"/>
    </xf>
    <xf numFmtId="0" fontId="5" fillId="82" borderId="1" applyAlignment="1" pivotButton="0" quotePrefix="0" xfId="0">
      <alignment horizontal="left" vertical="center" wrapText="1"/>
    </xf>
    <xf numFmtId="0" fontId="5" fillId="83" borderId="1" applyAlignment="1" pivotButton="0" quotePrefix="0" xfId="0">
      <alignment horizontal="left" vertical="center" wrapText="1"/>
    </xf>
    <xf numFmtId="0" fontId="5" fillId="84" borderId="1" applyAlignment="1" pivotButton="0" quotePrefix="0" xfId="0">
      <alignment horizontal="left" vertical="center" wrapText="1"/>
    </xf>
    <xf numFmtId="0" fontId="5" fillId="85" borderId="1" applyAlignment="1" pivotButton="0" quotePrefix="0" xfId="0">
      <alignment horizontal="left" vertical="center" wrapText="1"/>
    </xf>
    <xf numFmtId="0" fontId="5" fillId="86" borderId="1" applyAlignment="1" pivotButton="0" quotePrefix="0" xfId="0">
      <alignment horizontal="left" vertical="center" wrapText="1"/>
    </xf>
    <xf numFmtId="0" fontId="5" fillId="87" borderId="1" applyAlignment="1" pivotButton="0" quotePrefix="0" xfId="0">
      <alignment horizontal="left" vertical="center" wrapText="1"/>
    </xf>
    <xf numFmtId="0" fontId="5" fillId="88" borderId="1" applyAlignment="1" pivotButton="0" quotePrefix="0" xfId="0">
      <alignment horizontal="left" vertical="center" wrapText="1"/>
    </xf>
    <xf numFmtId="0" fontId="5" fillId="89" borderId="1" applyAlignment="1" pivotButton="0" quotePrefix="0" xfId="0">
      <alignment horizontal="left" vertical="center" wrapText="1"/>
    </xf>
    <xf numFmtId="0" fontId="5" fillId="90" borderId="1" applyAlignment="1" pivotButton="0" quotePrefix="0" xfId="0">
      <alignment horizontal="left" vertical="center" wrapText="1"/>
    </xf>
    <xf numFmtId="0" fontId="5" fillId="91" borderId="1" applyAlignment="1" pivotButton="0" quotePrefix="0" xfId="0">
      <alignment horizontal="left" vertical="center" wrapText="1"/>
    </xf>
    <xf numFmtId="0" fontId="5" fillId="92" borderId="1" applyAlignment="1" pivotButton="0" quotePrefix="0" xfId="0">
      <alignment horizontal="left" vertical="center" wrapText="1"/>
    </xf>
    <xf numFmtId="0" fontId="5" fillId="93" borderId="1" applyAlignment="1" pivotButton="0" quotePrefix="0" xfId="0">
      <alignment horizontal="left" vertical="center" wrapText="1"/>
    </xf>
    <xf numFmtId="0" fontId="5" fillId="94" borderId="1" applyAlignment="1" pivotButton="0" quotePrefix="0" xfId="0">
      <alignment horizontal="left" vertical="center" wrapText="1"/>
    </xf>
    <xf numFmtId="0" fontId="5" fillId="95" borderId="1" applyAlignment="1" pivotButton="0" quotePrefix="0" xfId="0">
      <alignment horizontal="left" vertical="center" wrapText="1"/>
    </xf>
    <xf numFmtId="0" fontId="5" fillId="96" borderId="1" applyAlignment="1" pivotButton="0" quotePrefix="0" xfId="0">
      <alignment horizontal="left" vertical="center" wrapText="1"/>
    </xf>
    <xf numFmtId="0" fontId="5" fillId="97" borderId="1" applyAlignment="1" pivotButton="0" quotePrefix="0" xfId="0">
      <alignment horizontal="left" vertical="center" wrapText="1"/>
    </xf>
    <xf numFmtId="0" fontId="5" fillId="98" borderId="1" applyAlignment="1" pivotButton="0" quotePrefix="0" xfId="0">
      <alignment horizontal="left" vertical="center" wrapText="1"/>
    </xf>
    <xf numFmtId="0" fontId="5" fillId="99" borderId="1" applyAlignment="1" pivotButton="0" quotePrefix="0" xfId="0">
      <alignment horizontal="left" vertical="center" wrapText="1"/>
    </xf>
    <xf numFmtId="0" fontId="3" fillId="65" borderId="1" applyAlignment="1" pivotButton="0" quotePrefix="0" xfId="0">
      <alignment horizontal="left" vertical="center" wrapText="1"/>
    </xf>
    <xf numFmtId="0" fontId="5" fillId="100" borderId="1" applyAlignment="1" pivotButton="0" quotePrefix="0" xfId="0">
      <alignment horizontal="left" vertical="center" wrapText="1"/>
    </xf>
    <xf numFmtId="0" fontId="5" fillId="101" borderId="1" applyAlignment="1" pivotButton="0" quotePrefix="0" xfId="0">
      <alignment horizontal="left" vertical="center" wrapText="1"/>
    </xf>
    <xf numFmtId="0" fontId="5" fillId="102" borderId="1" applyAlignment="1" pivotButton="0" quotePrefix="0" xfId="0">
      <alignment horizontal="left" vertical="center" wrapText="1"/>
    </xf>
    <xf numFmtId="0" fontId="5" fillId="103" borderId="1" applyAlignment="1" pivotButton="0" quotePrefix="0" xfId="0">
      <alignment horizontal="left" vertical="center" wrapText="1"/>
    </xf>
    <xf numFmtId="0" fontId="5" fillId="104" borderId="1" applyAlignment="1" pivotButton="0" quotePrefix="0" xfId="0">
      <alignment horizontal="left" vertical="center" wrapText="1"/>
    </xf>
    <xf numFmtId="0" fontId="5" fillId="105" borderId="1" applyAlignment="1" pivotButton="0" quotePrefix="0" xfId="0">
      <alignment horizontal="left" vertical="center" wrapText="1"/>
    </xf>
    <xf numFmtId="0" fontId="5" fillId="106" borderId="1" applyAlignment="1" pivotButton="0" quotePrefix="0" xfId="0">
      <alignment horizontal="left" vertical="center" wrapText="1"/>
    </xf>
    <xf numFmtId="0" fontId="5" fillId="107" borderId="1" applyAlignment="1" pivotButton="0" quotePrefix="0" xfId="0">
      <alignment horizontal="left" vertical="center" wrapText="1"/>
    </xf>
    <xf numFmtId="0" fontId="5" fillId="108" borderId="1" applyAlignment="1" pivotButton="0" quotePrefix="0" xfId="0">
      <alignment horizontal="left" vertical="center" wrapText="1"/>
    </xf>
    <xf numFmtId="0" fontId="5" fillId="109" borderId="1" applyAlignment="1" pivotButton="0" quotePrefix="0" xfId="0">
      <alignment horizontal="left" vertical="center" wrapText="1"/>
    </xf>
    <xf numFmtId="0" fontId="5" fillId="110" borderId="1" applyAlignment="1" pivotButton="0" quotePrefix="0" xfId="0">
      <alignment horizontal="left" vertical="center" wrapText="1"/>
    </xf>
    <xf numFmtId="0" fontId="5" fillId="111" borderId="1" applyAlignment="1" pivotButton="0" quotePrefix="0" xfId="0">
      <alignment horizontal="left" vertical="center" wrapText="1"/>
    </xf>
    <xf numFmtId="0" fontId="5" fillId="112" borderId="1" applyAlignment="1" pivotButton="0" quotePrefix="0" xfId="0">
      <alignment horizontal="left" vertical="center" wrapText="1"/>
    </xf>
    <xf numFmtId="0" fontId="5" fillId="113" borderId="1" applyAlignment="1" pivotButton="0" quotePrefix="0" xfId="0">
      <alignment horizontal="left" vertical="center" wrapText="1"/>
    </xf>
    <xf numFmtId="0" fontId="5" fillId="114" borderId="1" applyAlignment="1" pivotButton="0" quotePrefix="0" xfId="0">
      <alignment horizontal="left" vertical="center" wrapText="1"/>
    </xf>
    <xf numFmtId="0" fontId="5" fillId="115" borderId="1" applyAlignment="1" pivotButton="0" quotePrefix="0" xfId="0">
      <alignment horizontal="left" vertical="center" wrapText="1"/>
    </xf>
    <xf numFmtId="0" fontId="5" fillId="116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left" vertical="center" wrapText="1"/>
    </xf>
    <xf numFmtId="0" fontId="5" fillId="117" borderId="1" applyAlignment="1" pivotButton="0" quotePrefix="0" xfId="0">
      <alignment horizontal="left" vertical="center" wrapText="1"/>
    </xf>
    <xf numFmtId="0" fontId="5" fillId="118" borderId="1" applyAlignment="1" pivotButton="0" quotePrefix="0" xfId="0">
      <alignment horizontal="left" vertical="center" wrapText="1"/>
    </xf>
    <xf numFmtId="0" fontId="5" fillId="119" borderId="1" applyAlignment="1" pivotButton="0" quotePrefix="0" xfId="0">
      <alignment horizontal="left" vertical="center" wrapText="1"/>
    </xf>
    <xf numFmtId="0" fontId="5" fillId="120" borderId="1" applyAlignment="1" pivotButton="0" quotePrefix="0" xfId="0">
      <alignment horizontal="left" vertical="center" wrapText="1"/>
    </xf>
    <xf numFmtId="0" fontId="5" fillId="121" borderId="1" applyAlignment="1" pivotButton="0" quotePrefix="0" xfId="0">
      <alignment horizontal="left" vertical="center" wrapText="1"/>
    </xf>
    <xf numFmtId="0" fontId="5" fillId="122" borderId="1" applyAlignment="1" pivotButton="0" quotePrefix="0" xfId="0">
      <alignment horizontal="left" vertical="center" wrapText="1"/>
    </xf>
    <xf numFmtId="0" fontId="5" fillId="123" borderId="1" applyAlignment="1" pivotButton="0" quotePrefix="0" xfId="0">
      <alignment horizontal="left" vertical="center" wrapText="1"/>
    </xf>
    <xf numFmtId="0" fontId="5" fillId="124" borderId="1" applyAlignment="1" pivotButton="0" quotePrefix="0" xfId="0">
      <alignment horizontal="left" vertical="center" wrapText="1"/>
    </xf>
    <xf numFmtId="0" fontId="5" fillId="125" borderId="1" applyAlignment="1" pivotButton="0" quotePrefix="0" xfId="0">
      <alignment horizontal="left" vertical="center" wrapText="1"/>
    </xf>
    <xf numFmtId="0" fontId="5" fillId="126" borderId="1" applyAlignment="1" pivotButton="0" quotePrefix="0" xfId="0">
      <alignment horizontal="left" vertical="center" wrapText="1"/>
    </xf>
    <xf numFmtId="0" fontId="5" fillId="127" borderId="1" applyAlignment="1" pivotButton="0" quotePrefix="0" xfId="0">
      <alignment horizontal="left" vertical="center" wrapText="1"/>
    </xf>
    <xf numFmtId="0" fontId="5" fillId="128" borderId="1" applyAlignment="1" pivotButton="0" quotePrefix="0" xfId="0">
      <alignment horizontal="left" vertical="center" wrapText="1"/>
    </xf>
    <xf numFmtId="0" fontId="5" fillId="129" borderId="1" applyAlignment="1" pivotButton="0" quotePrefix="0" xfId="0">
      <alignment horizontal="left" vertical="center" wrapText="1"/>
    </xf>
    <xf numFmtId="0" fontId="5" fillId="130" borderId="1" applyAlignment="1" pivotButton="0" quotePrefix="0" xfId="0">
      <alignment horizontal="left" vertical="center" wrapText="1"/>
    </xf>
    <xf numFmtId="0" fontId="5" fillId="131" borderId="1" applyAlignment="1" pivotButton="0" quotePrefix="0" xfId="0">
      <alignment horizontal="left" vertical="center" wrapText="1"/>
    </xf>
    <xf numFmtId="0" fontId="5" fillId="132" borderId="1" applyAlignment="1" pivotButton="0" quotePrefix="0" xfId="0">
      <alignment horizontal="left" vertical="center" wrapText="1"/>
    </xf>
    <xf numFmtId="0" fontId="3" fillId="133" borderId="1" applyAlignment="1" pivotButton="0" quotePrefix="0" xfId="0">
      <alignment horizontal="left" vertical="center" wrapText="1"/>
    </xf>
    <xf numFmtId="0" fontId="5" fillId="134" borderId="1" applyAlignment="1" pivotButton="0" quotePrefix="0" xfId="0">
      <alignment horizontal="left" vertical="center" wrapText="1"/>
    </xf>
    <xf numFmtId="0" fontId="5" fillId="135" borderId="1" applyAlignment="1" pivotButton="0" quotePrefix="0" xfId="0">
      <alignment horizontal="left" vertical="center" wrapText="1"/>
    </xf>
    <xf numFmtId="0" fontId="5" fillId="136" borderId="1" applyAlignment="1" pivotButton="0" quotePrefix="0" xfId="0">
      <alignment horizontal="left" vertical="center" wrapText="1"/>
    </xf>
    <xf numFmtId="0" fontId="5" fillId="137" borderId="1" applyAlignment="1" pivotButton="0" quotePrefix="0" xfId="0">
      <alignment horizontal="left" vertical="center" wrapText="1"/>
    </xf>
    <xf numFmtId="0" fontId="3" fillId="138" borderId="1" applyAlignment="1" pivotButton="0" quotePrefix="0" xfId="0">
      <alignment horizontal="left" vertical="center" wrapText="1"/>
    </xf>
    <xf numFmtId="0" fontId="5" fillId="139" borderId="1" applyAlignment="1" pivotButton="0" quotePrefix="0" xfId="0">
      <alignment horizontal="left" vertical="center" wrapText="1"/>
    </xf>
    <xf numFmtId="0" fontId="5" fillId="140" borderId="1" applyAlignment="1" pivotButton="0" quotePrefix="0" xfId="0">
      <alignment horizontal="left" vertical="center" wrapText="1"/>
    </xf>
    <xf numFmtId="0" fontId="5" fillId="141" borderId="1" applyAlignment="1" pivotButton="0" quotePrefix="0" xfId="0">
      <alignment horizontal="left" vertical="center" wrapText="1"/>
    </xf>
    <xf numFmtId="0" fontId="5" fillId="142" borderId="1" applyAlignment="1" pivotButton="0" quotePrefix="0" xfId="0">
      <alignment horizontal="left" vertical="center" wrapText="1"/>
    </xf>
    <xf numFmtId="0" fontId="5" fillId="143" borderId="1" applyAlignment="1" pivotButton="0" quotePrefix="0" xfId="0">
      <alignment horizontal="left" vertical="center" wrapText="1"/>
    </xf>
    <xf numFmtId="0" fontId="5" fillId="144" borderId="1" applyAlignment="1" pivotButton="0" quotePrefix="0" xfId="0">
      <alignment horizontal="left" vertical="center" wrapText="1"/>
    </xf>
    <xf numFmtId="0" fontId="5" fillId="145" borderId="1" applyAlignment="1" pivotButton="0" quotePrefix="0" xfId="0">
      <alignment horizontal="left" vertical="center" wrapText="1"/>
    </xf>
    <xf numFmtId="0" fontId="5" fillId="146" borderId="1" applyAlignment="1" pivotButton="0" quotePrefix="0" xfId="0">
      <alignment horizontal="left" vertical="center" wrapText="1"/>
    </xf>
    <xf numFmtId="0" fontId="5" fillId="147" borderId="1" applyAlignment="1" pivotButton="0" quotePrefix="0" xfId="0">
      <alignment horizontal="left" vertical="center" wrapText="1"/>
    </xf>
    <xf numFmtId="0" fontId="5" fillId="148" borderId="1" applyAlignment="1" pivotButton="0" quotePrefix="0" xfId="0">
      <alignment horizontal="left" vertical="center" wrapText="1"/>
    </xf>
    <xf numFmtId="0" fontId="5" fillId="149" borderId="1" applyAlignment="1" pivotButton="0" quotePrefix="0" xfId="0">
      <alignment horizontal="left" vertical="center" wrapText="1"/>
    </xf>
    <xf numFmtId="0" fontId="5" fillId="150" borderId="1" applyAlignment="1" pivotButton="0" quotePrefix="0" xfId="0">
      <alignment horizontal="left" vertical="center" wrapText="1"/>
    </xf>
    <xf numFmtId="0" fontId="3" fillId="122" borderId="1" applyAlignment="1" pivotButton="0" quotePrefix="0" xfId="0">
      <alignment horizontal="left" vertical="center" wrapText="1"/>
    </xf>
    <xf numFmtId="0" fontId="5" fillId="151" borderId="1" applyAlignment="1" pivotButton="0" quotePrefix="0" xfId="0">
      <alignment horizontal="left" vertical="center" wrapText="1"/>
    </xf>
    <xf numFmtId="0" fontId="5" fillId="152" borderId="1" applyAlignment="1" pivotButton="0" quotePrefix="0" xfId="0">
      <alignment horizontal="left" vertical="center" wrapText="1"/>
    </xf>
    <xf numFmtId="0" fontId="5" fillId="153" borderId="1" applyAlignment="1" pivotButton="0" quotePrefix="0" xfId="0">
      <alignment horizontal="left" vertical="center" wrapText="1"/>
    </xf>
    <xf numFmtId="0" fontId="5" fillId="154" borderId="1" applyAlignment="1" pivotButton="0" quotePrefix="0" xfId="0">
      <alignment horizontal="left" vertical="center" wrapText="1"/>
    </xf>
    <xf numFmtId="0" fontId="5" fillId="155" borderId="1" applyAlignment="1" pivotButton="0" quotePrefix="0" xfId="0">
      <alignment horizontal="left" vertical="center" wrapText="1"/>
    </xf>
    <xf numFmtId="0" fontId="5" fillId="156" borderId="1" applyAlignment="1" pivotButton="0" quotePrefix="0" xfId="0">
      <alignment horizontal="left" vertical="center" wrapText="1"/>
    </xf>
    <xf numFmtId="0" fontId="5" fillId="157" borderId="1" applyAlignment="1" pivotButton="0" quotePrefix="0" xfId="0">
      <alignment horizontal="left" vertical="center" wrapText="1"/>
    </xf>
    <xf numFmtId="0" fontId="3" fillId="37" borderId="1" applyAlignment="1" pivotButton="0" quotePrefix="0" xfId="0">
      <alignment horizontal="left" vertical="center" wrapText="1"/>
    </xf>
    <xf numFmtId="0" fontId="5" fillId="158" borderId="1" applyAlignment="1" pivotButton="0" quotePrefix="0" xfId="0">
      <alignment horizontal="left" vertical="center" wrapText="1"/>
    </xf>
    <xf numFmtId="0" fontId="5" fillId="159" borderId="1" applyAlignment="1" pivotButton="0" quotePrefix="0" xfId="0">
      <alignment horizontal="left" vertical="center" wrapText="1"/>
    </xf>
    <xf numFmtId="0" fontId="5" fillId="160" borderId="1" applyAlignment="1" pivotButton="0" quotePrefix="0" xfId="0">
      <alignment horizontal="left" vertical="center" wrapText="1"/>
    </xf>
    <xf numFmtId="0" fontId="5" fillId="161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3" fillId="162" borderId="1" pivotButton="0" quotePrefix="0" xfId="0"/>
    <xf numFmtId="0" fontId="5" fillId="6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163" borderId="1" applyAlignment="1" pivotButton="0" quotePrefix="0" xfId="0">
      <alignment horizontal="center" vertical="center"/>
    </xf>
    <xf numFmtId="0" fontId="3" fillId="6" borderId="1" pivotButton="0" quotePrefix="0" xfId="0"/>
    <xf numFmtId="0" fontId="5" fillId="6" borderId="1" applyAlignment="1" pivotButton="0" quotePrefix="0" xfId="0">
      <alignment horizontal="center"/>
    </xf>
    <xf numFmtId="164" fontId="5" fillId="6" borderId="1" applyAlignment="1" pivotButton="0" quotePrefix="0" xfId="0">
      <alignment horizontal="center"/>
    </xf>
    <xf numFmtId="0" fontId="2" fillId="163" borderId="1" pivotButton="0" quotePrefix="0" xfId="0"/>
    <xf numFmtId="0" fontId="2" fillId="163" borderId="1" applyAlignment="1" pivotButton="0" quotePrefix="0" xfId="0">
      <alignment horizontal="center"/>
    </xf>
    <xf numFmtId="164" fontId="2" fillId="163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top"/>
    </xf>
    <xf numFmtId="0" fontId="8" fillId="6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8" fillId="6" borderId="1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11">
    <dxf>
      <font>
        <name val="맑은 고딕"/>
        <b val="1"/>
        <color rgb="00047857"/>
        <sz val="9"/>
      </font>
      <fill>
        <patternFill patternType="solid">
          <fgColor rgb="00D1FAE5"/>
        </patternFill>
      </fill>
    </dxf>
    <dxf>
      <font>
        <name val="맑은 고딕"/>
        <b val="1"/>
        <color rgb="00B91C1C"/>
        <sz val="9"/>
      </font>
      <fill>
        <patternFill patternType="solid">
          <fgColor rgb="00FEE2E2"/>
        </patternFill>
      </fill>
    </dxf>
    <dxf>
      <font>
        <name val="맑은 고딕"/>
        <b val="1"/>
        <color rgb="004B5563"/>
        <sz val="9"/>
      </font>
      <fill>
        <patternFill patternType="solid">
          <fgColor rgb="00E5E7EB"/>
        </patternFill>
      </fill>
    </dxf>
    <dxf>
      <font>
        <name val="맑은 고딕"/>
        <b val="1"/>
        <color rgb="006D28D9"/>
        <sz val="9"/>
      </font>
      <fill>
        <patternFill patternType="solid">
          <fgColor rgb="00EDE9FE"/>
        </patternFill>
      </fill>
    </dxf>
    <dxf>
      <font>
        <name val="맑은 고딕"/>
        <b val="1"/>
        <color rgb="00B45309"/>
        <sz val="9"/>
      </font>
      <fill>
        <patternFill patternType="solid">
          <fgColor rgb="00FEF3C7"/>
        </patternFill>
      </fill>
    </dxf>
    <dxf>
      <font>
        <name val="맑은 고딕"/>
        <b val="1"/>
        <color rgb="00000000"/>
        <sz val="11"/>
      </font>
      <fill>
        <patternFill patternType="solid">
          <fgColor rgb="00FFFFFF"/>
        </patternFill>
      </fill>
    </dxf>
    <dxf>
      <font>
        <name val="맑은 고딕"/>
        <b val="1"/>
        <color rgb="001D4ED8"/>
        <sz val="11"/>
      </font>
      <fill>
        <patternFill patternType="solid">
          <fgColor rgb="00DBEAFE"/>
        </patternFill>
      </fill>
    </dxf>
    <dxf>
      <font>
        <name val="맑은 고딕"/>
        <b val="1"/>
        <color rgb="00047857"/>
        <sz val="11"/>
      </font>
      <fill>
        <patternFill patternType="solid">
          <fgColor rgb="00D1FAE5"/>
        </patternFill>
      </fill>
    </dxf>
    <dxf>
      <font>
        <name val="맑은 고딕"/>
        <b val="1"/>
        <color rgb="004B5563"/>
        <sz val="11"/>
      </font>
      <fill>
        <patternFill patternType="solid">
          <fgColor rgb="00E5E7EB"/>
        </patternFill>
      </fill>
    </dxf>
    <dxf>
      <font>
        <name val="맑은 고딕"/>
        <b val="1"/>
        <color rgb="00B91C1C"/>
        <sz val="11"/>
      </font>
      <fill>
        <patternFill patternType="solid">
          <fgColor rgb="00FEE2E2"/>
        </patternFill>
      </fill>
    </dxf>
    <dxf>
      <font>
        <name val="맑은 고딕"/>
        <b val="1"/>
        <color rgb="00B45309"/>
        <sz val="11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30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" customWidth="1" min="1" max="1"/>
    <col width="6" customWidth="1" min="2" max="2"/>
    <col width="15" customWidth="1" min="3" max="3"/>
    <col width="14" customWidth="1" min="4" max="4"/>
    <col width="15" customWidth="1" min="5" max="5"/>
    <col width="26" customWidth="1" min="6" max="6"/>
    <col width="5" customWidth="1" min="7" max="7"/>
    <col width="34" customWidth="1" min="8" max="8"/>
    <col width="46" customWidth="1" min="9" max="9"/>
    <col width="11" customWidth="1" min="10" max="10"/>
    <col width="9" customWidth="1" min="11" max="11"/>
    <col width="7" customWidth="1" min="12" max="12"/>
    <col width="7" customWidth="1" min="13" max="13"/>
    <col width="11" customWidth="1" min="14" max="14"/>
    <col width="34" customWidth="1" min="15" max="15"/>
    <col width="30" customWidth="1" min="16" max="16"/>
    <col width="13" customWidth="1" min="17" max="17"/>
    <col width="9" customWidth="1" min="18" max="18"/>
    <col width="14" customWidth="1" min="19" max="19"/>
  </cols>
  <sheetData>
    <row r="2" ht="22" customHeight="1">
      <c r="B2" s="1" t="inlineStr">
        <is>
          <t>qa-lab-miyonchat-tree-v1.13</t>
        </is>
      </c>
      <c r="F2" s="1" t="inlineStr">
        <is>
          <t>miyonchat TC</t>
        </is>
      </c>
    </row>
    <row r="3" ht="18" customHeight="1">
      <c r="B3" s="2" t="inlineStr">
        <is>
          <t>No</t>
        </is>
      </c>
      <c r="C3" s="2" t="inlineStr">
        <is>
          <t>1-Depth</t>
        </is>
      </c>
      <c r="D3" s="2" t="inlineStr">
        <is>
          <t>2-Depth</t>
        </is>
      </c>
      <c r="E3" s="2" t="inlineStr">
        <is>
          <t>3-Depth</t>
        </is>
      </c>
      <c r="F3" s="2" t="inlineStr">
        <is>
          <t>Pre-Condition</t>
        </is>
      </c>
      <c r="G3" s="2" t="inlineStr">
        <is>
          <t>TN</t>
        </is>
      </c>
      <c r="H3" s="2" t="inlineStr">
        <is>
          <t>Test-Step</t>
        </is>
      </c>
      <c r="I3" s="2" t="inlineStr">
        <is>
          <t>Expected-Result</t>
        </is>
      </c>
      <c r="J3" s="2" t="inlineStr">
        <is>
          <t>실행 주체</t>
        </is>
      </c>
      <c r="K3" s="2" t="inlineStr">
        <is>
          <t>Priority</t>
        </is>
      </c>
      <c r="L3" s="3" t="inlineStr">
        <is>
          <t>Total Result</t>
        </is>
      </c>
      <c r="M3" s="3" t="inlineStr">
        <is>
          <t>Result</t>
        </is>
      </c>
      <c r="N3" s="2" t="inlineStr">
        <is>
          <t>Issue No.</t>
        </is>
      </c>
      <c r="O3" s="2" t="inlineStr">
        <is>
          <t>Comment</t>
        </is>
      </c>
      <c r="P3" s="2" t="inlineStr">
        <is>
          <t>Note</t>
        </is>
      </c>
      <c r="Q3" s="2" t="inlineStr">
        <is>
          <t>TC ID</t>
        </is>
      </c>
      <c r="R3" s="2" t="inlineStr">
        <is>
          <t>검증유형</t>
        </is>
      </c>
      <c r="S3" s="2" t="inlineStr">
        <is>
          <t>상태</t>
        </is>
      </c>
    </row>
    <row r="4" ht="16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3" t="inlineStr">
        <is>
          <t>Web</t>
        </is>
      </c>
      <c r="M4" s="3" t="inlineStr">
        <is>
          <t>Web</t>
        </is>
      </c>
      <c r="N4" s="4" t="n"/>
      <c r="O4" s="4" t="n"/>
      <c r="P4" s="4" t="n"/>
      <c r="Q4" s="4" t="n"/>
      <c r="R4" s="4" t="n"/>
      <c r="S4" s="4" t="n"/>
    </row>
    <row r="5">
      <c r="B5" s="5" t="inlineStr">
        <is>
          <t>OS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7" t="n"/>
      <c r="M5" s="8" t="inlineStr"/>
      <c r="N5" s="9" t="inlineStr">
        <is>
          <t>※ 노란색 셀은 실행 단계에서 채워집니다 — 환경 정보 / Result / Issue No. / Comment
※ 수행 전 참고사항은 전부 Note에 있습니다 — 설계 데이터는 노란 칸에 두지 않습니다</t>
        </is>
      </c>
    </row>
    <row r="6">
      <c r="B6" s="5" t="inlineStr">
        <is>
          <t>단말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7" t="n"/>
      <c r="M6" s="8" t="inlineStr">
        <is>
          <t>Chrome</t>
        </is>
      </c>
    </row>
    <row r="7">
      <c r="B7" s="5" t="inlineStr">
        <is>
          <t>버전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7" t="n"/>
      <c r="M7" s="8" t="inlineStr"/>
    </row>
    <row r="8">
      <c r="B8" s="5" t="inlineStr">
        <is>
          <t>작업자 이름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7" t="n"/>
      <c r="M8" s="8" t="inlineStr"/>
    </row>
    <row r="9">
      <c r="B9" s="5" t="inlineStr">
        <is>
          <t>작업 시작일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7" t="n"/>
      <c r="M9" s="8" t="inlineStr"/>
    </row>
    <row r="10" ht="30" customHeight="1">
      <c r="B10" s="10">
        <f>ROW()-9</f>
        <v/>
      </c>
      <c r="C10" s="11" t="inlineStr">
        <is>
          <t>웹 진입</t>
        </is>
      </c>
      <c r="D10" s="12" t="inlineStr">
        <is>
          <t>진입 분기</t>
        </is>
      </c>
      <c r="E10" s="13" t="inlineStr">
        <is>
          <t>미로그인 첫 진입</t>
        </is>
      </c>
      <c r="F10" s="14" t="inlineStr">
        <is>
          <t>미로그인 상태</t>
        </is>
      </c>
      <c r="G10" s="15" t="n">
        <v>1</v>
      </c>
      <c r="H10" s="14" t="inlineStr">
        <is>
          <t>SUT 주소 진입한다</t>
        </is>
      </c>
      <c r="I10" s="14" t="inlineStr">
        <is>
          <t>로그인 화면 없이 홈 화면 노출된다</t>
        </is>
      </c>
      <c r="J10" s="10" t="inlineStr">
        <is>
          <t>공통</t>
        </is>
      </c>
      <c r="K10" s="10" t="inlineStr">
        <is>
          <t>High</t>
        </is>
      </c>
      <c r="L10" s="16">
        <f>IF(COUNTIF(M10:M10,"Fail")&gt;0,"Fail",IF(COUNTIF(M10:M10,"Blocked")&gt;0,"Blocked",IF(COUNTIF(M10:M10,"NI")&gt;0,"NI",IF(COUNTIF(M10:M10,"Pass")&gt;0,"Pass",""))))</f>
        <v/>
      </c>
      <c r="M10" s="17" t="n"/>
      <c r="N10" s="18" t="n"/>
      <c r="O10" s="18" t="n"/>
      <c r="P10" s="14" t="inlineStr">
        <is>
          <t>상태는 디버그 콘솔 상태 스위처 「미로그인」으로 만들고 [저장]합니다. 미로그인 열람 범위의 정본은 system-spec §1-1입니다</t>
        </is>
      </c>
      <c r="Q10" s="10" t="inlineStr">
        <is>
          <t>TC-ENT-001</t>
        </is>
      </c>
      <c r="R10" s="10" t="inlineStr">
        <is>
          <t>결정적</t>
        </is>
      </c>
      <c r="S10" s="10" t="inlineStr">
        <is>
          <t>미로그인</t>
        </is>
      </c>
    </row>
    <row r="11" ht="30" customHeight="1">
      <c r="B11" s="10">
        <f>ROW()-9</f>
        <v/>
      </c>
      <c r="C11" s="11" t="inlineStr">
        <is>
          <t>웹 진입</t>
        </is>
      </c>
      <c r="D11" s="12" t="inlineStr">
        <is>
          <t>진입 분기</t>
        </is>
      </c>
      <c r="E11" s="13" t="inlineStr">
        <is>
          <t>미로그인 첫 진입</t>
        </is>
      </c>
      <c r="F11" s="14" t="inlineStr"/>
      <c r="G11" s="15" t="n">
        <v>2</v>
      </c>
      <c r="H11" s="14" t="inlineStr">
        <is>
          <t>상단 바 확인한다</t>
        </is>
      </c>
      <c r="I11" s="14" t="inlineStr">
        <is>
          <t>재화 잔액 노출되지 않는다</t>
        </is>
      </c>
      <c r="J11" s="10" t="inlineStr">
        <is>
          <t>공통</t>
        </is>
      </c>
      <c r="K11" s="10" t="inlineStr">
        <is>
          <t>High</t>
        </is>
      </c>
      <c r="L11" s="16">
        <f>IF(COUNTIF(M11:M11,"Fail")&gt;0,"Fail",IF(COUNTIF(M11:M11,"Blocked")&gt;0,"Blocked",IF(COUNTIF(M11:M11,"NI")&gt;0,"NI",IF(COUNTIF(M11:M11,"Pass")&gt;0,"Pass",""))))</f>
        <v/>
      </c>
      <c r="M11" s="17" t="n"/>
      <c r="N11" s="18" t="n"/>
      <c r="O11" s="18" t="n"/>
      <c r="P11" s="14" t="n"/>
      <c r="Q11" s="10" t="inlineStr">
        <is>
          <t>TC-ENT-001</t>
        </is>
      </c>
      <c r="R11" s="10" t="inlineStr">
        <is>
          <t>결정적</t>
        </is>
      </c>
      <c r="S11" s="10" t="inlineStr">
        <is>
          <t>미로그인</t>
        </is>
      </c>
    </row>
    <row r="12" ht="30" customHeight="1">
      <c r="B12" s="10">
        <f>ROW()-9</f>
        <v/>
      </c>
      <c r="C12" s="11" t="inlineStr">
        <is>
          <t>웹 진입</t>
        </is>
      </c>
      <c r="D12" s="12" t="inlineStr">
        <is>
          <t>진입 분기</t>
        </is>
      </c>
      <c r="E12" s="13" t="inlineStr">
        <is>
          <t>미로그인 첫 진입</t>
        </is>
      </c>
      <c r="F12" s="14" t="n"/>
      <c r="G12" s="19" t="n"/>
      <c r="H12" s="19" t="n"/>
      <c r="I12" s="14" t="inlineStr">
        <is>
          <t>간편 프로필 자리에 로그인 버튼 노출된다</t>
        </is>
      </c>
      <c r="J12" s="10" t="inlineStr">
        <is>
          <t>공통</t>
        </is>
      </c>
      <c r="K12" s="10" t="inlineStr">
        <is>
          <t>High</t>
        </is>
      </c>
      <c r="L12" s="16">
        <f>IF(COUNTIF(M12:M12,"Fail")&gt;0,"Fail",IF(COUNTIF(M12:M12,"Blocked")&gt;0,"Blocked",IF(COUNTIF(M12:M12,"NI")&gt;0,"NI",IF(COUNTIF(M12:M12,"Pass")&gt;0,"Pass",""))))</f>
        <v/>
      </c>
      <c r="M12" s="17" t="n"/>
      <c r="N12" s="18" t="n"/>
      <c r="O12" s="18" t="n"/>
      <c r="P12" s="19" t="n"/>
      <c r="Q12" s="10" t="inlineStr">
        <is>
          <t>TC-ENT-001</t>
        </is>
      </c>
      <c r="R12" s="10" t="inlineStr">
        <is>
          <t>결정적</t>
        </is>
      </c>
      <c r="S12" s="10" t="inlineStr">
        <is>
          <t>미로그인</t>
        </is>
      </c>
    </row>
    <row r="13" ht="30" customHeight="1">
      <c r="B13" s="10">
        <f>ROW()-9</f>
        <v/>
      </c>
      <c r="C13" s="11" t="inlineStr">
        <is>
          <t>웹 진입</t>
        </is>
      </c>
      <c r="D13" s="12" t="inlineStr">
        <is>
          <t>진입 분기</t>
        </is>
      </c>
      <c r="E13" s="20" t="inlineStr">
        <is>
          <t>로그인 상태 진입 분기</t>
        </is>
      </c>
      <c r="F13" s="14" t="inlineStr">
        <is>
          <t>계정 A(성인 인증)로 로그인한 상태</t>
        </is>
      </c>
      <c r="G13" s="15" t="n">
        <v>1</v>
      </c>
      <c r="H13" s="14" t="inlineStr">
        <is>
          <t>SUT 주소 재진입한다</t>
        </is>
      </c>
      <c r="I13" s="14" t="inlineStr">
        <is>
          <t>로그인 화면 없이 홈 화면 노출된다</t>
        </is>
      </c>
      <c r="J13" s="10" t="inlineStr">
        <is>
          <t>공통</t>
        </is>
      </c>
      <c r="K13" s="10" t="inlineStr">
        <is>
          <t>Medium</t>
        </is>
      </c>
      <c r="L13" s="16">
        <f>IF(COUNTIF(M13:M13,"Fail")&gt;0,"Fail",IF(COUNTIF(M13:M13,"Blocked")&gt;0,"Blocked",IF(COUNTIF(M13:M13,"NI")&gt;0,"NI",IF(COUNTIF(M13:M13,"Pass")&gt;0,"Pass",""))))</f>
        <v/>
      </c>
      <c r="M13" s="17" t="n"/>
      <c r="N13" s="18" t="n"/>
      <c r="O13" s="18" t="n"/>
      <c r="P13" s="14" t="inlineStr">
        <is>
          <t>상태 스위처 「로그인 (성인 인증)」으로 만듭니다. 이 케이스는 상태에 따른 화면 분기를 보는 것이고, 새로고침을 견디는지는 TC-ENT-011이 따로 봅니다</t>
        </is>
      </c>
      <c r="Q13" s="10" t="inlineStr">
        <is>
          <t>TC-ENT-002</t>
        </is>
      </c>
      <c r="R13" s="10" t="inlineStr">
        <is>
          <t>결정적</t>
        </is>
      </c>
      <c r="S13" s="10" t="inlineStr">
        <is>
          <t>성인 인증</t>
        </is>
      </c>
    </row>
    <row r="14" ht="30" customHeight="1">
      <c r="B14" s="10">
        <f>ROW()-9</f>
        <v/>
      </c>
      <c r="C14" s="11" t="inlineStr">
        <is>
          <t>웹 진입</t>
        </is>
      </c>
      <c r="D14" s="12" t="inlineStr">
        <is>
          <t>진입 분기</t>
        </is>
      </c>
      <c r="E14" s="20" t="inlineStr">
        <is>
          <t>로그인 상태 진입 분기</t>
        </is>
      </c>
      <c r="F14" s="14" t="inlineStr"/>
      <c r="G14" s="15" t="n">
        <v>2</v>
      </c>
      <c r="H14" s="14" t="inlineStr">
        <is>
          <t>상단 바 확인한다</t>
        </is>
      </c>
      <c r="I14" s="14" t="inlineStr">
        <is>
          <t>재화 잔액 노출된다</t>
        </is>
      </c>
      <c r="J14" s="10" t="inlineStr">
        <is>
          <t>공통</t>
        </is>
      </c>
      <c r="K14" s="10" t="inlineStr">
        <is>
          <t>Medium</t>
        </is>
      </c>
      <c r="L14" s="16">
        <f>IF(COUNTIF(M14:M14,"Fail")&gt;0,"Fail",IF(COUNTIF(M14:M14,"Blocked")&gt;0,"Blocked",IF(COUNTIF(M14:M14,"NI")&gt;0,"NI",IF(COUNTIF(M14:M14,"Pass")&gt;0,"Pass",""))))</f>
        <v/>
      </c>
      <c r="M14" s="17" t="n"/>
      <c r="N14" s="18" t="n"/>
      <c r="O14" s="18" t="n"/>
      <c r="P14" s="14" t="n"/>
      <c r="Q14" s="10" t="inlineStr">
        <is>
          <t>TC-ENT-002</t>
        </is>
      </c>
      <c r="R14" s="10" t="inlineStr">
        <is>
          <t>결정적</t>
        </is>
      </c>
      <c r="S14" s="10" t="inlineStr">
        <is>
          <t>성인 인증</t>
        </is>
      </c>
    </row>
    <row r="15" ht="30" customHeight="1">
      <c r="B15" s="10">
        <f>ROW()-9</f>
        <v/>
      </c>
      <c r="C15" s="11" t="inlineStr">
        <is>
          <t>웹 진입</t>
        </is>
      </c>
      <c r="D15" s="12" t="inlineStr">
        <is>
          <t>진입 분기</t>
        </is>
      </c>
      <c r="E15" s="20" t="inlineStr">
        <is>
          <t>로그인 상태 진입 분기</t>
        </is>
      </c>
      <c r="F15" s="14" t="n"/>
      <c r="G15" s="19" t="n"/>
      <c r="H15" s="19" t="n"/>
      <c r="I15" s="14" t="inlineStr">
        <is>
          <t>간편 프로필 노출된다</t>
        </is>
      </c>
      <c r="J15" s="10" t="inlineStr">
        <is>
          <t>공통</t>
        </is>
      </c>
      <c r="K15" s="10" t="inlineStr">
        <is>
          <t>Medium</t>
        </is>
      </c>
      <c r="L15" s="16">
        <f>IF(COUNTIF(M15:M15,"Fail")&gt;0,"Fail",IF(COUNTIF(M15:M15,"Blocked")&gt;0,"Blocked",IF(COUNTIF(M15:M15,"NI")&gt;0,"NI",IF(COUNTIF(M15:M15,"Pass")&gt;0,"Pass",""))))</f>
        <v/>
      </c>
      <c r="M15" s="17" t="n"/>
      <c r="N15" s="18" t="n"/>
      <c r="O15" s="18" t="n"/>
      <c r="P15" s="19" t="n"/>
      <c r="Q15" s="10" t="inlineStr">
        <is>
          <t>TC-ENT-002</t>
        </is>
      </c>
      <c r="R15" s="10" t="inlineStr">
        <is>
          <t>결정적</t>
        </is>
      </c>
      <c r="S15" s="10" t="inlineStr">
        <is>
          <t>성인 인증</t>
        </is>
      </c>
    </row>
    <row r="16" ht="30" customHeight="1">
      <c r="B16" s="10">
        <f>ROW()-9</f>
        <v/>
      </c>
      <c r="C16" s="11" t="inlineStr">
        <is>
          <t>웹 진입</t>
        </is>
      </c>
      <c r="D16" s="12" t="inlineStr">
        <is>
          <t>진입 분기</t>
        </is>
      </c>
      <c r="E16" s="21" t="inlineStr">
        <is>
          <t>세션 만료 후 재진입</t>
        </is>
      </c>
      <c r="F16" s="14" t="inlineStr">
        <is>
          <t>계정 A로 로그인한 뒤 세션이 만료된 상태</t>
        </is>
      </c>
      <c r="G16" s="15" t="n">
        <v>1</v>
      </c>
      <c r="H16" s="14" t="inlineStr">
        <is>
          <t>SUT 주소 재진입한다</t>
        </is>
      </c>
      <c r="I16" s="14" t="inlineStr">
        <is>
          <t>만료 안내 모달 노출된다</t>
        </is>
      </c>
      <c r="J16" s="10" t="inlineStr">
        <is>
          <t>공통</t>
        </is>
      </c>
      <c r="K16" s="10" t="inlineStr">
        <is>
          <t>High</t>
        </is>
      </c>
      <c r="L16" s="16">
        <f>IF(COUNTIF(M16:M16,"Fail")&gt;0,"Fail",IF(COUNTIF(M16:M16,"Blocked")&gt;0,"Blocked",IF(COUNTIF(M16:M16,"NI")&gt;0,"NI",IF(COUNTIF(M16:M16,"Pass")&gt;0,"Pass",""))))</f>
        <v/>
      </c>
      <c r="M16" s="17" t="n"/>
      <c r="N16" s="18" t="n"/>
      <c r="O16" s="18" t="n"/>
      <c r="P16" s="14" t="inlineStr">
        <is>
          <t>만료는 상태 스위처 「세션 만료」로 만듭니다. 모달을 닫으면 미로그인이 되므로 만료 상태에서의 동작 차단은 TC-ENT-004가 대화방에서 봅니다</t>
        </is>
      </c>
      <c r="Q16" s="10" t="inlineStr">
        <is>
          <t>TC-ENT-003</t>
        </is>
      </c>
      <c r="R16" s="10" t="inlineStr">
        <is>
          <t>결정적</t>
        </is>
      </c>
      <c r="S16" s="10" t="inlineStr">
        <is>
          <t>세션 만료</t>
        </is>
      </c>
    </row>
    <row r="17" ht="30" customHeight="1">
      <c r="B17" s="10">
        <f>ROW()-9</f>
        <v/>
      </c>
      <c r="C17" s="11" t="inlineStr">
        <is>
          <t>웹 진입</t>
        </is>
      </c>
      <c r="D17" s="12" t="inlineStr">
        <is>
          <t>진입 분기</t>
        </is>
      </c>
      <c r="E17" s="21" t="inlineStr">
        <is>
          <t>세션 만료 후 재진입</t>
        </is>
      </c>
      <c r="F17" s="14" t="inlineStr"/>
      <c r="G17" s="15" t="n">
        <v>2</v>
      </c>
      <c r="H17" s="14" t="inlineStr">
        <is>
          <t>만료 안내 확인한다</t>
        </is>
      </c>
      <c r="I17" s="14" t="inlineStr">
        <is>
          <t>미로그인 상태의 홈 화면으로 복귀된다</t>
        </is>
      </c>
      <c r="J17" s="10" t="inlineStr">
        <is>
          <t>공통</t>
        </is>
      </c>
      <c r="K17" s="10" t="inlineStr">
        <is>
          <t>High</t>
        </is>
      </c>
      <c r="L17" s="16">
        <f>IF(COUNTIF(M17:M17,"Fail")&gt;0,"Fail",IF(COUNTIF(M17:M17,"Blocked")&gt;0,"Blocked",IF(COUNTIF(M17:M17,"NI")&gt;0,"NI",IF(COUNTIF(M17:M17,"Pass")&gt;0,"Pass",""))))</f>
        <v/>
      </c>
      <c r="M17" s="17" t="n"/>
      <c r="N17" s="18" t="n"/>
      <c r="O17" s="18" t="n"/>
      <c r="P17" s="14" t="n"/>
      <c r="Q17" s="10" t="inlineStr">
        <is>
          <t>TC-ENT-003</t>
        </is>
      </c>
      <c r="R17" s="10" t="inlineStr">
        <is>
          <t>결정적</t>
        </is>
      </c>
      <c r="S17" s="10" t="inlineStr">
        <is>
          <t>세션 만료</t>
        </is>
      </c>
    </row>
    <row r="18" ht="30" customHeight="1">
      <c r="B18" s="10">
        <f>ROW()-9</f>
        <v/>
      </c>
      <c r="C18" s="11" t="inlineStr">
        <is>
          <t>웹 진입</t>
        </is>
      </c>
      <c r="D18" s="12" t="inlineStr">
        <is>
          <t>진입 분기</t>
        </is>
      </c>
      <c r="E18" s="21" t="inlineStr">
        <is>
          <t>세션 만료 후 재진입</t>
        </is>
      </c>
      <c r="F18" s="14" t="inlineStr"/>
      <c r="G18" s="15" t="n">
        <v>3</v>
      </c>
      <c r="H18" s="14" t="inlineStr">
        <is>
          <t>상단 바 확인한다</t>
        </is>
      </c>
      <c r="I18" s="14" t="inlineStr">
        <is>
          <t>재화 잔액 노출되지 않는다</t>
        </is>
      </c>
      <c r="J18" s="10" t="inlineStr">
        <is>
          <t>공통</t>
        </is>
      </c>
      <c r="K18" s="10" t="inlineStr">
        <is>
          <t>High</t>
        </is>
      </c>
      <c r="L18" s="16">
        <f>IF(COUNTIF(M18:M18,"Fail")&gt;0,"Fail",IF(COUNTIF(M18:M18,"Blocked")&gt;0,"Blocked",IF(COUNTIF(M18:M18,"NI")&gt;0,"NI",IF(COUNTIF(M18:M18,"Pass")&gt;0,"Pass",""))))</f>
        <v/>
      </c>
      <c r="M18" s="17" t="n"/>
      <c r="N18" s="18" t="n"/>
      <c r="O18" s="18" t="n"/>
      <c r="P18" s="14" t="n"/>
      <c r="Q18" s="10" t="inlineStr">
        <is>
          <t>TC-ENT-003</t>
        </is>
      </c>
      <c r="R18" s="10" t="inlineStr">
        <is>
          <t>결정적</t>
        </is>
      </c>
      <c r="S18" s="10" t="inlineStr">
        <is>
          <t>세션 만료</t>
        </is>
      </c>
    </row>
    <row r="19" ht="30" customHeight="1">
      <c r="B19" s="10">
        <f>ROW()-9</f>
        <v/>
      </c>
      <c r="C19" s="11" t="inlineStr">
        <is>
          <t>웹 진입</t>
        </is>
      </c>
      <c r="D19" s="12" t="inlineStr">
        <is>
          <t>진입 분기</t>
        </is>
      </c>
      <c r="E19" s="21" t="inlineStr">
        <is>
          <t>세션 만료 후 재진입</t>
        </is>
      </c>
      <c r="F19" s="14" t="n"/>
      <c r="G19" s="19" t="n"/>
      <c r="H19" s="19" t="n"/>
      <c r="I19" s="14" t="inlineStr">
        <is>
          <t>간편 프로필 자리에 로그인 버튼 노출된다</t>
        </is>
      </c>
      <c r="J19" s="10" t="inlineStr">
        <is>
          <t>공통</t>
        </is>
      </c>
      <c r="K19" s="10" t="inlineStr">
        <is>
          <t>High</t>
        </is>
      </c>
      <c r="L19" s="16">
        <f>IF(COUNTIF(M19:M19,"Fail")&gt;0,"Fail",IF(COUNTIF(M19:M19,"Blocked")&gt;0,"Blocked",IF(COUNTIF(M19:M19,"NI")&gt;0,"NI",IF(COUNTIF(M19:M19,"Pass")&gt;0,"Pass",""))))</f>
        <v/>
      </c>
      <c r="M19" s="17" t="n"/>
      <c r="N19" s="18" t="n"/>
      <c r="O19" s="18" t="n"/>
      <c r="P19" s="19" t="n"/>
      <c r="Q19" s="10" t="inlineStr">
        <is>
          <t>TC-ENT-003</t>
        </is>
      </c>
      <c r="R19" s="10" t="inlineStr">
        <is>
          <t>결정적</t>
        </is>
      </c>
      <c r="S19" s="10" t="inlineStr">
        <is>
          <t>세션 만료</t>
        </is>
      </c>
    </row>
    <row r="20" ht="30" customHeight="1">
      <c r="B20" s="10">
        <f>ROW()-9</f>
        <v/>
      </c>
      <c r="C20" s="11" t="inlineStr">
        <is>
          <t>웹 진입</t>
        </is>
      </c>
      <c r="D20" s="22" t="inlineStr">
        <is>
          <t>주소 직접 진입</t>
        </is>
      </c>
      <c r="E20" s="23" t="inlineStr">
        <is>
          <t>로그인 상태 로그인 필요 화면 직접 진입</t>
        </is>
      </c>
      <c r="F20" s="14" t="inlineStr">
        <is>
          <t>계정 A로 로그인한 상태</t>
        </is>
      </c>
      <c r="G20" s="15" t="n">
        <v>1</v>
      </c>
      <c r="H20" s="14" t="inlineStr">
        <is>
          <t>MY 탭 주소로 새로 진입한다</t>
        </is>
      </c>
      <c r="I20" s="14" t="inlineStr">
        <is>
          <t>로그인 화면 없이 MY 탭 노출된다</t>
        </is>
      </c>
      <c r="J20" s="10" t="inlineStr">
        <is>
          <t>공통</t>
        </is>
      </c>
      <c r="K20" s="10" t="inlineStr">
        <is>
          <t>Medium</t>
        </is>
      </c>
      <c r="L20" s="16">
        <f>IF(COUNTIF(M20:M20,"Fail")&gt;0,"Fail",IF(COUNTIF(M20:M20,"Blocked")&gt;0,"Blocked",IF(COUNTIF(M20:M20,"NI")&gt;0,"NI",IF(COUNTIF(M20:M20,"Pass")&gt;0,"Pass",""))))</f>
        <v/>
      </c>
      <c r="M20" s="17" t="n"/>
      <c r="N20" s="18" t="n"/>
      <c r="O20" s="18" t="n"/>
      <c r="P20" s="14" t="inlineStr">
        <is>
          <t>주소 끝에 `?screen=s6`을 붙입니다. 세션 지속으로 계정 스코프가 복원되므로 가드가 통과시킵니다 — 복원이 가드보다 늦으면 로그인 상태인데도 튕겨 나갑니다(§1-3)</t>
        </is>
      </c>
      <c r="Q20" s="10" t="inlineStr">
        <is>
          <t>TC-ENT-005</t>
        </is>
      </c>
      <c r="R20" s="10" t="inlineStr">
        <is>
          <t>결정적</t>
        </is>
      </c>
      <c r="S20" s="10" t="inlineStr">
        <is>
          <t>성인 인증</t>
        </is>
      </c>
    </row>
    <row r="21" ht="30" customHeight="1">
      <c r="B21" s="10">
        <f>ROW()-9</f>
        <v/>
      </c>
      <c r="C21" s="11" t="inlineStr">
        <is>
          <t>웹 진입</t>
        </is>
      </c>
      <c r="D21" s="22" t="inlineStr">
        <is>
          <t>주소 직접 진입</t>
        </is>
      </c>
      <c r="E21" s="24" t="inlineStr">
        <is>
          <t>로그인 필요 화면 차단과 로그인 후 복귀</t>
        </is>
      </c>
      <c r="F21" s="14" t="inlineStr">
        <is>
          <t>미로그인 상태</t>
        </is>
      </c>
      <c r="G21" s="15" t="n">
        <v>1</v>
      </c>
      <c r="H21" s="14" t="inlineStr">
        <is>
          <t>대화방 주소로 직접 진입한다</t>
        </is>
      </c>
      <c r="I21" s="14" t="inlineStr">
        <is>
          <t>대화방 노출되지 않는다</t>
        </is>
      </c>
      <c r="J21" s="10" t="inlineStr">
        <is>
          <t>공통</t>
        </is>
      </c>
      <c r="K21" s="10" t="inlineStr">
        <is>
          <t>High</t>
        </is>
      </c>
      <c r="L21" s="16">
        <f>IF(COUNTIF(M21:M21,"Fail")&gt;0,"Fail",IF(COUNTIF(M21:M21,"Blocked")&gt;0,"Blocked",IF(COUNTIF(M21:M21,"NI")&gt;0,"NI",IF(COUNTIF(M21:M21,"Pass")&gt;0,"Pass",""))))</f>
        <v/>
      </c>
      <c r="M21" s="17" t="n"/>
      <c r="N21" s="18" t="n"/>
      <c r="O21" s="18" t="n"/>
      <c r="P21" s="14" t="inlineStr">
        <is>
          <t>주소 끝에 `?screen=s4`를 붙입니다. 뒤에 깔 화면이 없는 경우라 모달이 아니라 로그인 화면이 뜨는 자리입니다(system-spec §1-1)</t>
        </is>
      </c>
      <c r="Q21" s="10" t="inlineStr">
        <is>
          <t>TC-GAT-001</t>
        </is>
      </c>
      <c r="R21" s="10" t="inlineStr">
        <is>
          <t>금칙</t>
        </is>
      </c>
      <c r="S21" s="10" t="inlineStr">
        <is>
          <t>미로그인</t>
        </is>
      </c>
    </row>
    <row r="22" ht="30" customHeight="1">
      <c r="B22" s="10">
        <f>ROW()-9</f>
        <v/>
      </c>
      <c r="C22" s="11" t="inlineStr">
        <is>
          <t>웹 진입</t>
        </is>
      </c>
      <c r="D22" s="22" t="inlineStr">
        <is>
          <t>주소 직접 진입</t>
        </is>
      </c>
      <c r="E22" s="24" t="inlineStr">
        <is>
          <t>로그인 필요 화면 차단과 로그인 후 복귀</t>
        </is>
      </c>
      <c r="F22" s="19" t="n"/>
      <c r="G22" s="19" t="n"/>
      <c r="H22" s="19" t="n"/>
      <c r="I22" s="14" t="inlineStr">
        <is>
          <t>로그인 모달이 아니라 로그인 화면 노출된다</t>
        </is>
      </c>
      <c r="J22" s="10" t="inlineStr">
        <is>
          <t>공통</t>
        </is>
      </c>
      <c r="K22" s="10" t="inlineStr">
        <is>
          <t>High</t>
        </is>
      </c>
      <c r="L22" s="16">
        <f>IF(COUNTIF(M22:M22,"Fail")&gt;0,"Fail",IF(COUNTIF(M22:M22,"Blocked")&gt;0,"Blocked",IF(COUNTIF(M22:M22,"NI")&gt;0,"NI",IF(COUNTIF(M22:M22,"Pass")&gt;0,"Pass",""))))</f>
        <v/>
      </c>
      <c r="M22" s="17" t="n"/>
      <c r="N22" s="18" t="n"/>
      <c r="O22" s="18" t="n"/>
      <c r="P22" s="19" t="n"/>
      <c r="Q22" s="10" t="inlineStr">
        <is>
          <t>TC-GAT-001</t>
        </is>
      </c>
      <c r="R22" s="10" t="inlineStr">
        <is>
          <t>금칙</t>
        </is>
      </c>
      <c r="S22" s="10" t="inlineStr">
        <is>
          <t>미로그인</t>
        </is>
      </c>
    </row>
    <row r="23" ht="30" customHeight="1">
      <c r="B23" s="10">
        <f>ROW()-9</f>
        <v/>
      </c>
      <c r="C23" s="11" t="inlineStr">
        <is>
          <t>웹 진입</t>
        </is>
      </c>
      <c r="D23" s="22" t="inlineStr">
        <is>
          <t>주소 직접 진입</t>
        </is>
      </c>
      <c r="E23" s="24" t="inlineStr">
        <is>
          <t>로그인 필요 화면 차단과 로그인 후 복귀</t>
        </is>
      </c>
      <c r="F23" s="14" t="inlineStr"/>
      <c r="G23" s="15" t="n">
        <v>2</v>
      </c>
      <c r="H23" s="14" t="inlineStr">
        <is>
          <t>로그인 화면에서 계정 A 선택한다</t>
        </is>
      </c>
      <c r="I23" s="14" t="inlineStr">
        <is>
          <t>원래 열려던 대화방으로 복귀된다</t>
        </is>
      </c>
      <c r="J23" s="10" t="inlineStr">
        <is>
          <t>공통</t>
        </is>
      </c>
      <c r="K23" s="10" t="inlineStr">
        <is>
          <t>High</t>
        </is>
      </c>
      <c r="L23" s="16">
        <f>IF(COUNTIF(M23:M23,"Fail")&gt;0,"Fail",IF(COUNTIF(M23:M23,"Blocked")&gt;0,"Blocked",IF(COUNTIF(M23:M23,"NI")&gt;0,"NI",IF(COUNTIF(M23:M23,"Pass")&gt;0,"Pass",""))))</f>
        <v/>
      </c>
      <c r="M23" s="17" t="n"/>
      <c r="N23" s="18" t="n"/>
      <c r="O23" s="18" t="n"/>
      <c r="P23" s="14" t="n"/>
      <c r="Q23" s="10" t="inlineStr">
        <is>
          <t>TC-GAT-001</t>
        </is>
      </c>
      <c r="R23" s="10" t="inlineStr">
        <is>
          <t>금칙</t>
        </is>
      </c>
      <c r="S23" s="10" t="inlineStr">
        <is>
          <t>미로그인</t>
        </is>
      </c>
    </row>
    <row r="24" ht="30" customHeight="1">
      <c r="B24" s="10">
        <f>ROW()-9</f>
        <v/>
      </c>
      <c r="C24" s="11" t="inlineStr">
        <is>
          <t>웹 진입</t>
        </is>
      </c>
      <c r="D24" s="22" t="inlineStr">
        <is>
          <t>주소 직접 진입</t>
        </is>
      </c>
      <c r="E24" s="25" t="inlineStr">
        <is>
          <t>채팅 탭 차단</t>
        </is>
      </c>
      <c r="F24" s="14" t="inlineStr">
        <is>
          <t>미로그인 상태</t>
        </is>
      </c>
      <c r="G24" s="15" t="n">
        <v>1</v>
      </c>
      <c r="H24" s="14" t="inlineStr">
        <is>
          <t>채팅 탭 주소로 직접 진입한다</t>
        </is>
      </c>
      <c r="I24" s="14" t="inlineStr">
        <is>
          <t>채팅 탭 노출되지 않는다</t>
        </is>
      </c>
      <c r="J24" s="10" t="inlineStr">
        <is>
          <t>공통</t>
        </is>
      </c>
      <c r="K24" s="10" t="inlineStr">
        <is>
          <t>High</t>
        </is>
      </c>
      <c r="L24" s="16">
        <f>IF(COUNTIF(M24:M24,"Fail")&gt;0,"Fail",IF(COUNTIF(M24:M24,"Blocked")&gt;0,"Blocked",IF(COUNTIF(M24:M24,"NI")&gt;0,"NI",IF(COUNTIF(M24:M24,"Pass")&gt;0,"Pass",""))))</f>
        <v/>
      </c>
      <c r="M24" s="17" t="n"/>
      <c r="N24" s="18" t="n"/>
      <c r="O24" s="18" t="n"/>
      <c r="P24" s="14" t="inlineStr">
        <is>
          <t>주소 끝에 `?screen=s5`를 붙입니다. 로그인 필요 화면마다 케이스를 나눈 것은 하나만 뚫렸을 때 어느 화면인지 TC ID로 읽히게 하기 위해서입니다</t>
        </is>
      </c>
      <c r="Q24" s="10" t="inlineStr">
        <is>
          <t>TC-GAT-002</t>
        </is>
      </c>
      <c r="R24" s="10" t="inlineStr">
        <is>
          <t>금칙</t>
        </is>
      </c>
      <c r="S24" s="10" t="inlineStr">
        <is>
          <t>미로그인</t>
        </is>
      </c>
    </row>
    <row r="25" ht="30" customHeight="1">
      <c r="B25" s="10">
        <f>ROW()-9</f>
        <v/>
      </c>
      <c r="C25" s="11" t="inlineStr">
        <is>
          <t>웹 진입</t>
        </is>
      </c>
      <c r="D25" s="22" t="inlineStr">
        <is>
          <t>주소 직접 진입</t>
        </is>
      </c>
      <c r="E25" s="25" t="inlineStr">
        <is>
          <t>채팅 탭 차단</t>
        </is>
      </c>
      <c r="F25" s="19" t="n"/>
      <c r="G25" s="19" t="n"/>
      <c r="H25" s="19" t="n"/>
      <c r="I25" s="14" t="inlineStr">
        <is>
          <t>로그인 화면 노출된다</t>
        </is>
      </c>
      <c r="J25" s="10" t="inlineStr">
        <is>
          <t>공통</t>
        </is>
      </c>
      <c r="K25" s="10" t="inlineStr">
        <is>
          <t>High</t>
        </is>
      </c>
      <c r="L25" s="16">
        <f>IF(COUNTIF(M25:M25,"Fail")&gt;0,"Fail",IF(COUNTIF(M25:M25,"Blocked")&gt;0,"Blocked",IF(COUNTIF(M25:M25,"NI")&gt;0,"NI",IF(COUNTIF(M25:M25,"Pass")&gt;0,"Pass",""))))</f>
        <v/>
      </c>
      <c r="M25" s="17" t="n"/>
      <c r="N25" s="18" t="n"/>
      <c r="O25" s="18" t="n"/>
      <c r="P25" s="19" t="n"/>
      <c r="Q25" s="10" t="inlineStr">
        <is>
          <t>TC-GAT-002</t>
        </is>
      </c>
      <c r="R25" s="10" t="inlineStr">
        <is>
          <t>금칙</t>
        </is>
      </c>
      <c r="S25" s="10" t="inlineStr">
        <is>
          <t>미로그인</t>
        </is>
      </c>
    </row>
    <row r="26" ht="30" customHeight="1">
      <c r="B26" s="10">
        <f>ROW()-9</f>
        <v/>
      </c>
      <c r="C26" s="11" t="inlineStr">
        <is>
          <t>웹 진입</t>
        </is>
      </c>
      <c r="D26" s="22" t="inlineStr">
        <is>
          <t>주소 직접 진입</t>
        </is>
      </c>
      <c r="E26" s="26" t="inlineStr">
        <is>
          <t>MY 탭 차단</t>
        </is>
      </c>
      <c r="F26" s="14" t="inlineStr">
        <is>
          <t>미로그인 상태</t>
        </is>
      </c>
      <c r="G26" s="15" t="n">
        <v>1</v>
      </c>
      <c r="H26" s="14" t="inlineStr">
        <is>
          <t>MY 탭 주소로 직접 진입한다</t>
        </is>
      </c>
      <c r="I26" s="14" t="inlineStr">
        <is>
          <t>MY 탭 노출되지 않는다</t>
        </is>
      </c>
      <c r="J26" s="10" t="inlineStr">
        <is>
          <t>공통</t>
        </is>
      </c>
      <c r="K26" s="10" t="inlineStr">
        <is>
          <t>High</t>
        </is>
      </c>
      <c r="L26" s="16">
        <f>IF(COUNTIF(M26:M26,"Fail")&gt;0,"Fail",IF(COUNTIF(M26:M26,"Blocked")&gt;0,"Blocked",IF(COUNTIF(M26:M26,"NI")&gt;0,"NI",IF(COUNTIF(M26:M26,"Pass")&gt;0,"Pass",""))))</f>
        <v/>
      </c>
      <c r="M26" s="17" t="n"/>
      <c r="N26" s="18" t="n"/>
      <c r="O26" s="18" t="n"/>
      <c r="P26" s="14" t="inlineStr">
        <is>
          <t>주소 끝에 `?screen=s6`을 붙입니다. 로그인 상태에서 같은 주소가 열리는 것은 TC-ENT-005가 봅니다</t>
        </is>
      </c>
      <c r="Q26" s="10" t="inlineStr">
        <is>
          <t>TC-GAT-003</t>
        </is>
      </c>
      <c r="R26" s="10" t="inlineStr">
        <is>
          <t>금칙</t>
        </is>
      </c>
      <c r="S26" s="10" t="inlineStr">
        <is>
          <t>미로그인</t>
        </is>
      </c>
    </row>
    <row r="27" ht="30" customHeight="1">
      <c r="B27" s="10">
        <f>ROW()-9</f>
        <v/>
      </c>
      <c r="C27" s="11" t="inlineStr">
        <is>
          <t>웹 진입</t>
        </is>
      </c>
      <c r="D27" s="22" t="inlineStr">
        <is>
          <t>주소 직접 진입</t>
        </is>
      </c>
      <c r="E27" s="26" t="inlineStr">
        <is>
          <t>MY 탭 차단</t>
        </is>
      </c>
      <c r="F27" s="19" t="n"/>
      <c r="G27" s="19" t="n"/>
      <c r="H27" s="19" t="n"/>
      <c r="I27" s="14" t="inlineStr">
        <is>
          <t>로그인 화면 노출된다</t>
        </is>
      </c>
      <c r="J27" s="10" t="inlineStr">
        <is>
          <t>공통</t>
        </is>
      </c>
      <c r="K27" s="10" t="inlineStr">
        <is>
          <t>High</t>
        </is>
      </c>
      <c r="L27" s="16">
        <f>IF(COUNTIF(M27:M27,"Fail")&gt;0,"Fail",IF(COUNTIF(M27:M27,"Blocked")&gt;0,"Blocked",IF(COUNTIF(M27:M27,"NI")&gt;0,"NI",IF(COUNTIF(M27:M27,"Pass")&gt;0,"Pass",""))))</f>
        <v/>
      </c>
      <c r="M27" s="17" t="n"/>
      <c r="N27" s="18" t="n"/>
      <c r="O27" s="18" t="n"/>
      <c r="P27" s="19" t="n"/>
      <c r="Q27" s="10" t="inlineStr">
        <is>
          <t>TC-GAT-003</t>
        </is>
      </c>
      <c r="R27" s="10" t="inlineStr">
        <is>
          <t>금칙</t>
        </is>
      </c>
      <c r="S27" s="10" t="inlineStr">
        <is>
          <t>미로그인</t>
        </is>
      </c>
    </row>
    <row r="28" ht="30" customHeight="1">
      <c r="B28" s="10">
        <f>ROW()-9</f>
        <v/>
      </c>
      <c r="C28" s="11" t="inlineStr">
        <is>
          <t>웹 진입</t>
        </is>
      </c>
      <c r="D28" s="22" t="inlineStr">
        <is>
          <t>주소 직접 진입</t>
        </is>
      </c>
      <c r="E28" s="27" t="inlineStr">
        <is>
          <t>내 작품 탭 차단</t>
        </is>
      </c>
      <c r="F28" s="14" t="inlineStr">
        <is>
          <t>미로그인 상태</t>
        </is>
      </c>
      <c r="G28" s="15" t="n">
        <v>1</v>
      </c>
      <c r="H28" s="14" t="inlineStr">
        <is>
          <t>내 작품 탭 주소로 직접 진입한다</t>
        </is>
      </c>
      <c r="I28" s="14" t="inlineStr">
        <is>
          <t>내 작품 탭 노출되지 않는다</t>
        </is>
      </c>
      <c r="J28" s="10" t="inlineStr">
        <is>
          <t>공통</t>
        </is>
      </c>
      <c r="K28" s="10" t="inlineStr">
        <is>
          <t>High</t>
        </is>
      </c>
      <c r="L28" s="16">
        <f>IF(COUNTIF(M28:M28,"Fail")&gt;0,"Fail",IF(COUNTIF(M28:M28,"Blocked")&gt;0,"Blocked",IF(COUNTIF(M28:M28,"NI")&gt;0,"NI",IF(COUNTIF(M28:M28,"Pass")&gt;0,"Pass",""))))</f>
        <v/>
      </c>
      <c r="M28" s="17" t="n"/>
      <c r="N28" s="18" t="n"/>
      <c r="O28" s="18" t="n"/>
      <c r="P28" s="14" t="inlineStr">
        <is>
          <t>주소 끝에 `?screen=s8`을 붙입니다. 내 작품 탭은 스텁이지만 로그인 필요 화면이라 차단은 걸립니다</t>
        </is>
      </c>
      <c r="Q28" s="10" t="inlineStr">
        <is>
          <t>TC-GAT-004</t>
        </is>
      </c>
      <c r="R28" s="10" t="inlineStr">
        <is>
          <t>금칙</t>
        </is>
      </c>
      <c r="S28" s="10" t="inlineStr">
        <is>
          <t>미로그인</t>
        </is>
      </c>
    </row>
    <row r="29" ht="30" customHeight="1">
      <c r="B29" s="10">
        <f>ROW()-9</f>
        <v/>
      </c>
      <c r="C29" s="11" t="inlineStr">
        <is>
          <t>웹 진입</t>
        </is>
      </c>
      <c r="D29" s="22" t="inlineStr">
        <is>
          <t>주소 직접 진입</t>
        </is>
      </c>
      <c r="E29" s="27" t="inlineStr">
        <is>
          <t>내 작품 탭 차단</t>
        </is>
      </c>
      <c r="F29" s="19" t="n"/>
      <c r="G29" s="19" t="n"/>
      <c r="H29" s="19" t="n"/>
      <c r="I29" s="14" t="inlineStr">
        <is>
          <t>로그인 화면 노출된다</t>
        </is>
      </c>
      <c r="J29" s="10" t="inlineStr">
        <is>
          <t>공통</t>
        </is>
      </c>
      <c r="K29" s="10" t="inlineStr">
        <is>
          <t>High</t>
        </is>
      </c>
      <c r="L29" s="16">
        <f>IF(COUNTIF(M29:M29,"Fail")&gt;0,"Fail",IF(COUNTIF(M29:M29,"Blocked")&gt;0,"Blocked",IF(COUNTIF(M29:M29,"NI")&gt;0,"NI",IF(COUNTIF(M29:M29,"Pass")&gt;0,"Pass",""))))</f>
        <v/>
      </c>
      <c r="M29" s="17" t="n"/>
      <c r="N29" s="18" t="n"/>
      <c r="O29" s="18" t="n"/>
      <c r="P29" s="19" t="n"/>
      <c r="Q29" s="10" t="inlineStr">
        <is>
          <t>TC-GAT-004</t>
        </is>
      </c>
      <c r="R29" s="10" t="inlineStr">
        <is>
          <t>금칙</t>
        </is>
      </c>
      <c r="S29" s="10" t="inlineStr">
        <is>
          <t>미로그인</t>
        </is>
      </c>
    </row>
    <row r="30" ht="30" customHeight="1">
      <c r="B30" s="10">
        <f>ROW()-9</f>
        <v/>
      </c>
      <c r="C30" s="11" t="inlineStr">
        <is>
          <t>웹 진입</t>
        </is>
      </c>
      <c r="D30" s="22" t="inlineStr">
        <is>
          <t>주소 직접 진입</t>
        </is>
      </c>
      <c r="E30" s="28" t="inlineStr">
        <is>
          <t>홈 화면 통과</t>
        </is>
      </c>
      <c r="F30" s="14" t="inlineStr">
        <is>
          <t>미로그인 상태</t>
        </is>
      </c>
      <c r="G30" s="15" t="n">
        <v>1</v>
      </c>
      <c r="H30" s="14" t="inlineStr">
        <is>
          <t>홈 화면 주소로 직접 진입한다</t>
        </is>
      </c>
      <c r="I30" s="14" t="inlineStr">
        <is>
          <t>로그인 화면 없이 홈 화면 노출된다</t>
        </is>
      </c>
      <c r="J30" s="10" t="inlineStr">
        <is>
          <t>공통</t>
        </is>
      </c>
      <c r="K30" s="10" t="inlineStr">
        <is>
          <t>Medium</t>
        </is>
      </c>
      <c r="L30" s="16">
        <f>IF(COUNTIF(M30:M30,"Fail")&gt;0,"Fail",IF(COUNTIF(M30:M30,"Blocked")&gt;0,"Blocked",IF(COUNTIF(M30:M30,"NI")&gt;0,"NI",IF(COUNTIF(M30:M30,"Pass")&gt;0,"Pass",""))))</f>
        <v/>
      </c>
      <c r="M30" s="17" t="n"/>
      <c r="N30" s="18" t="n"/>
      <c r="O30" s="18" t="n"/>
      <c r="P30" s="14" t="inlineStr">
        <is>
          <t>주소 끝에 `?screen=s2`를 붙입니다. 차단이 미로그인 열람 화면까지 과하게 걸리지 않는지를 보는 자리라 위 차단 케이스들과 함께 읽습니다</t>
        </is>
      </c>
      <c r="Q30" s="10" t="inlineStr">
        <is>
          <t>TC-GAT-005</t>
        </is>
      </c>
      <c r="R30" s="10" t="inlineStr">
        <is>
          <t>결정적</t>
        </is>
      </c>
      <c r="S30" s="10" t="inlineStr">
        <is>
          <t>미로그인</t>
        </is>
      </c>
    </row>
    <row r="31" ht="30" customHeight="1">
      <c r="B31" s="10">
        <f>ROW()-9</f>
        <v/>
      </c>
      <c r="C31" s="11" t="inlineStr">
        <is>
          <t>웹 진입</t>
        </is>
      </c>
      <c r="D31" s="22" t="inlineStr">
        <is>
          <t>주소 직접 진입</t>
        </is>
      </c>
      <c r="E31" s="29" t="inlineStr">
        <is>
          <t>커뮤니티 탭 통과</t>
        </is>
      </c>
      <c r="F31" s="14" t="inlineStr">
        <is>
          <t>미로그인 상태</t>
        </is>
      </c>
      <c r="G31" s="15" t="n">
        <v>1</v>
      </c>
      <c r="H31" s="14" t="inlineStr">
        <is>
          <t>커뮤니티 탭 주소로 직접 진입한다</t>
        </is>
      </c>
      <c r="I31" s="14" t="inlineStr">
        <is>
          <t>로그인 화면 없이 커뮤니티 탭 노출된다</t>
        </is>
      </c>
      <c r="J31" s="10" t="inlineStr">
        <is>
          <t>공통</t>
        </is>
      </c>
      <c r="K31" s="10" t="inlineStr">
        <is>
          <t>Medium</t>
        </is>
      </c>
      <c r="L31" s="16">
        <f>IF(COUNTIF(M31:M31,"Fail")&gt;0,"Fail",IF(COUNTIF(M31:M31,"Blocked")&gt;0,"Blocked",IF(COUNTIF(M31:M31,"NI")&gt;0,"NI",IF(COUNTIF(M31:M31,"Pass")&gt;0,"Pass",""))))</f>
        <v/>
      </c>
      <c r="M31" s="17" t="n"/>
      <c r="N31" s="18" t="n"/>
      <c r="O31" s="18" t="n"/>
      <c r="P31" s="14" t="inlineStr">
        <is>
          <t>주소 끝에 `?screen=s7`을 붙입니다. 커뮤니티 탭은 전시용 정적이지만 미로그인 열람 화면이라 통과합니다</t>
        </is>
      </c>
      <c r="Q31" s="10" t="inlineStr">
        <is>
          <t>TC-GAT-006</t>
        </is>
      </c>
      <c r="R31" s="10" t="inlineStr">
        <is>
          <t>결정적</t>
        </is>
      </c>
      <c r="S31" s="10" t="inlineStr">
        <is>
          <t>미로그인</t>
        </is>
      </c>
    </row>
    <row r="32" ht="30" customHeight="1">
      <c r="B32" s="10">
        <f>ROW()-9</f>
        <v/>
      </c>
      <c r="C32" s="11" t="inlineStr">
        <is>
          <t>웹 진입</t>
        </is>
      </c>
      <c r="D32" s="22" t="inlineStr">
        <is>
          <t>주소 직접 진입</t>
        </is>
      </c>
      <c r="E32" s="30" t="inlineStr">
        <is>
          <t>만료 상태 보호 화면 직접 진입</t>
        </is>
      </c>
      <c r="F32" s="14" t="inlineStr">
        <is>
          <t>계정 A로 로그인한 뒤 세션이 만료된 상태</t>
        </is>
      </c>
      <c r="G32" s="15" t="n">
        <v>1</v>
      </c>
      <c r="H32" s="14" t="inlineStr">
        <is>
          <t>MY 탭 주소로 직접 진입한다</t>
        </is>
      </c>
      <c r="I32" s="14" t="inlineStr">
        <is>
          <t>MY 탭 노출되지 않는다</t>
        </is>
      </c>
      <c r="J32" s="10" t="inlineStr">
        <is>
          <t>공통</t>
        </is>
      </c>
      <c r="K32" s="10" t="inlineStr">
        <is>
          <t>High</t>
        </is>
      </c>
      <c r="L32" s="16">
        <f>IF(COUNTIF(M32:M32,"Fail")&gt;0,"Fail",IF(COUNTIF(M32:M32,"Blocked")&gt;0,"Blocked",IF(COUNTIF(M32:M32,"NI")&gt;0,"NI",IF(COUNTIF(M32:M32,"Pass")&gt;0,"Pass",""))))</f>
        <v/>
      </c>
      <c r="M32" s="17" t="n"/>
      <c r="N32" s="18" t="n"/>
      <c r="O32" s="18" t="n"/>
      <c r="P32" s="14" t="inlineStr">
        <is>
          <t>구현의 판정은 로그인 여부 하나라 만료도 미로그인과 같은 차단을 받습니다. 주소는 `?screen=s6`이며 만료는 상태 스위처로 만듭니다</t>
        </is>
      </c>
      <c r="Q32" s="10" t="inlineStr">
        <is>
          <t>TC-GAT-011</t>
        </is>
      </c>
      <c r="R32" s="10" t="inlineStr">
        <is>
          <t>금칙</t>
        </is>
      </c>
      <c r="S32" s="10" t="inlineStr">
        <is>
          <t>세션 만료</t>
        </is>
      </c>
    </row>
    <row r="33" ht="30" customHeight="1">
      <c r="B33" s="10">
        <f>ROW()-9</f>
        <v/>
      </c>
      <c r="C33" s="11" t="inlineStr">
        <is>
          <t>웹 진입</t>
        </is>
      </c>
      <c r="D33" s="22" t="inlineStr">
        <is>
          <t>주소 직접 진입</t>
        </is>
      </c>
      <c r="E33" s="30" t="inlineStr">
        <is>
          <t>만료 상태 보호 화면 직접 진입</t>
        </is>
      </c>
      <c r="F33" s="19" t="n"/>
      <c r="G33" s="19" t="n"/>
      <c r="H33" s="19" t="n"/>
      <c r="I33" s="14" t="inlineStr">
        <is>
          <t>로그인 화면 노출된다</t>
        </is>
      </c>
      <c r="J33" s="10" t="inlineStr">
        <is>
          <t>공통</t>
        </is>
      </c>
      <c r="K33" s="10" t="inlineStr">
        <is>
          <t>High</t>
        </is>
      </c>
      <c r="L33" s="16">
        <f>IF(COUNTIF(M33:M33,"Fail")&gt;0,"Fail",IF(COUNTIF(M33:M33,"Blocked")&gt;0,"Blocked",IF(COUNTIF(M33:M33,"NI")&gt;0,"NI",IF(COUNTIF(M33:M33,"Pass")&gt;0,"Pass",""))))</f>
        <v/>
      </c>
      <c r="M33" s="17" t="n"/>
      <c r="N33" s="18" t="n"/>
      <c r="O33" s="18" t="n"/>
      <c r="P33" s="19" t="n"/>
      <c r="Q33" s="10" t="inlineStr">
        <is>
          <t>TC-GAT-011</t>
        </is>
      </c>
      <c r="R33" s="10" t="inlineStr">
        <is>
          <t>금칙</t>
        </is>
      </c>
      <c r="S33" s="10" t="inlineStr">
        <is>
          <t>세션 만료</t>
        </is>
      </c>
    </row>
    <row r="34" ht="30" customHeight="1">
      <c r="B34" s="10">
        <f>ROW()-9</f>
        <v/>
      </c>
      <c r="C34" s="11" t="inlineStr">
        <is>
          <t>웹 진입</t>
        </is>
      </c>
      <c r="D34" s="12" t="inlineStr">
        <is>
          <t>진입 분기</t>
        </is>
      </c>
      <c r="E34" s="31" t="inlineStr">
        <is>
          <t>새로고침 후 세션 지속</t>
        </is>
      </c>
      <c r="F34" s="14" t="inlineStr">
        <is>
          <t>계정 A로 로그인하고 재화·프로필을 남긴 상태</t>
        </is>
      </c>
      <c r="G34" s="15" t="n">
        <v>1</v>
      </c>
      <c r="H34" s="14" t="inlineStr">
        <is>
          <t>브라우저를 새로고침한다</t>
        </is>
      </c>
      <c r="I34" s="14" t="inlineStr">
        <is>
          <t>로그인 화면 없이 홈 화면 노출된다</t>
        </is>
      </c>
      <c r="J34" s="10" t="inlineStr">
        <is>
          <t>공통</t>
        </is>
      </c>
      <c r="K34" s="10" t="inlineStr">
        <is>
          <t>High</t>
        </is>
      </c>
      <c r="L34" s="16">
        <f>IF(COUNTIF(M34:M34,"Fail")&gt;0,"Fail",IF(COUNTIF(M34:M34,"Blocked")&gt;0,"Blocked",IF(COUNTIF(M34:M34,"NI")&gt;0,"NI",IF(COUNTIF(M34:M34,"Pass")&gt;0,"Pass",""))))</f>
        <v/>
      </c>
      <c r="M34" s="17" t="n"/>
      <c r="N34" s="18" t="n"/>
      <c r="O34" s="18" t="n"/>
      <c r="P34" s="14" t="inlineStr">
        <is>
          <t>계정 스코프만 저장합니다 — 시트 데이터는 테스트 조건이라 저장하지 않고, 화면 보기 상태도 담지 않아 새로고침하면 홈에서 시작합니다(§1-3)</t>
        </is>
      </c>
      <c r="Q34" s="10" t="inlineStr">
        <is>
          <t>TC-ENT-011</t>
        </is>
      </c>
      <c r="R34" s="10" t="inlineStr">
        <is>
          <t>결정적</t>
        </is>
      </c>
      <c r="S34" s="10" t="inlineStr">
        <is>
          <t>성인 인증</t>
        </is>
      </c>
    </row>
    <row r="35" ht="30" customHeight="1">
      <c r="B35" s="10">
        <f>ROW()-9</f>
        <v/>
      </c>
      <c r="C35" s="11" t="inlineStr">
        <is>
          <t>웹 진입</t>
        </is>
      </c>
      <c r="D35" s="12" t="inlineStr">
        <is>
          <t>진입 분기</t>
        </is>
      </c>
      <c r="E35" s="31" t="inlineStr">
        <is>
          <t>새로고침 후 세션 지속</t>
        </is>
      </c>
      <c r="F35" s="14" t="inlineStr"/>
      <c r="G35" s="15" t="n">
        <v>2</v>
      </c>
      <c r="H35" s="14" t="inlineStr">
        <is>
          <t>상단 바와 계정 데이터를 확인한다</t>
        </is>
      </c>
      <c r="I35" s="14" t="inlineStr">
        <is>
          <t>로그인 상태가 유지된다</t>
        </is>
      </c>
      <c r="J35" s="10" t="inlineStr">
        <is>
          <t>공통</t>
        </is>
      </c>
      <c r="K35" s="10" t="inlineStr">
        <is>
          <t>High</t>
        </is>
      </c>
      <c r="L35" s="16">
        <f>IF(COUNTIF(M35:M35,"Fail")&gt;0,"Fail",IF(COUNTIF(M35:M35,"Blocked")&gt;0,"Blocked",IF(COUNTIF(M35:M35,"NI")&gt;0,"NI",IF(COUNTIF(M35:M35,"Pass")&gt;0,"Pass",""))))</f>
        <v/>
      </c>
      <c r="M35" s="17" t="n"/>
      <c r="N35" s="18" t="n"/>
      <c r="O35" s="18" t="n"/>
      <c r="P35" s="14" t="n"/>
      <c r="Q35" s="10" t="inlineStr">
        <is>
          <t>TC-ENT-011</t>
        </is>
      </c>
      <c r="R35" s="10" t="inlineStr">
        <is>
          <t>결정적</t>
        </is>
      </c>
      <c r="S35" s="10" t="inlineStr">
        <is>
          <t>성인 인증</t>
        </is>
      </c>
    </row>
    <row r="36" ht="30" customHeight="1">
      <c r="B36" s="10">
        <f>ROW()-9</f>
        <v/>
      </c>
      <c r="C36" s="11" t="inlineStr">
        <is>
          <t>웹 진입</t>
        </is>
      </c>
      <c r="D36" s="12" t="inlineStr">
        <is>
          <t>진입 분기</t>
        </is>
      </c>
      <c r="E36" s="31" t="inlineStr">
        <is>
          <t>새로고침 후 세션 지속</t>
        </is>
      </c>
      <c r="F36" s="14" t="n"/>
      <c r="G36" s="19" t="n"/>
      <c r="H36" s="19" t="n"/>
      <c r="I36" s="14" t="inlineStr">
        <is>
          <t>재화·프로필이 복원된다</t>
        </is>
      </c>
      <c r="J36" s="10" t="inlineStr">
        <is>
          <t>공통</t>
        </is>
      </c>
      <c r="K36" s="10" t="inlineStr">
        <is>
          <t>High</t>
        </is>
      </c>
      <c r="L36" s="16">
        <f>IF(COUNTIF(M36:M36,"Fail")&gt;0,"Fail",IF(COUNTIF(M36:M36,"Blocked")&gt;0,"Blocked",IF(COUNTIF(M36:M36,"NI")&gt;0,"NI",IF(COUNTIF(M36:M36,"Pass")&gt;0,"Pass",""))))</f>
        <v/>
      </c>
      <c r="M36" s="17" t="n"/>
      <c r="N36" s="18" t="n"/>
      <c r="O36" s="18" t="n"/>
      <c r="P36" s="19" t="n"/>
      <c r="Q36" s="10" t="inlineStr">
        <is>
          <t>TC-ENT-011</t>
        </is>
      </c>
      <c r="R36" s="10" t="inlineStr">
        <is>
          <t>결정적</t>
        </is>
      </c>
      <c r="S36" s="10" t="inlineStr">
        <is>
          <t>성인 인증</t>
        </is>
      </c>
    </row>
    <row r="37" ht="30" customHeight="1">
      <c r="B37" s="10">
        <f>ROW()-9</f>
        <v/>
      </c>
      <c r="C37" s="11" t="inlineStr">
        <is>
          <t>웹 진입</t>
        </is>
      </c>
      <c r="D37" s="12" t="inlineStr">
        <is>
          <t>진입 분기</t>
        </is>
      </c>
      <c r="E37" s="32" t="inlineStr">
        <is>
          <t>시트 데이터는 지속되지 않음</t>
        </is>
      </c>
      <c r="F37" s="14" t="inlineStr">
        <is>
          <t>계정 A로 로그인하고 디버그 콘솔에서 기준일을 옮긴 상태</t>
        </is>
      </c>
      <c r="G37" s="15" t="n">
        <v>1</v>
      </c>
      <c r="H37" s="14" t="inlineStr">
        <is>
          <t>브라우저를 새로고침한다</t>
        </is>
      </c>
      <c r="I37" s="14" t="inlineStr">
        <is>
          <t>로그인 상태가 유지된다</t>
        </is>
      </c>
      <c r="J37" s="10" t="inlineStr">
        <is>
          <t>자동화 전용</t>
        </is>
      </c>
      <c r="K37" s="10" t="inlineStr">
        <is>
          <t>High</t>
        </is>
      </c>
      <c r="L37" s="16">
        <f>IF(COUNTIF(M37:M37,"Fail")&gt;0,"Fail",IF(COUNTIF(M37:M37,"Blocked")&gt;0,"Blocked",IF(COUNTIF(M37:M37,"NI")&gt;0,"NI",IF(COUNTIF(M37:M37,"Pass")&gt;0,"Pass",""))))</f>
        <v/>
      </c>
      <c r="M37" s="17" t="n"/>
      <c r="N37" s="18" t="n"/>
      <c r="O37" s="18" t="n"/>
      <c r="P37" s="14" t="inlineStr">
        <is>
          <t>시트 데이터가 남으면 앞사람이 만든 조건 위에서 다음 테스트가 돌아 무엇을 전제로 통과했는지 알 수 없게 됩니다. 화면에 드러나지 않는 경계라 상태 훅으로 확인합니다</t>
        </is>
      </c>
      <c r="Q37" s="10" t="inlineStr">
        <is>
          <t>TC-ENT-012</t>
        </is>
      </c>
      <c r="R37" s="10" t="inlineStr">
        <is>
          <t>금칙</t>
        </is>
      </c>
      <c r="S37" s="10" t="inlineStr">
        <is>
          <t>성인 인증</t>
        </is>
      </c>
    </row>
    <row r="38" ht="30" customHeight="1">
      <c r="B38" s="10">
        <f>ROW()-9</f>
        <v/>
      </c>
      <c r="C38" s="11" t="inlineStr">
        <is>
          <t>웹 진입</t>
        </is>
      </c>
      <c r="D38" s="12" t="inlineStr">
        <is>
          <t>진입 분기</t>
        </is>
      </c>
      <c r="E38" s="32" t="inlineStr">
        <is>
          <t>시트 데이터는 지속되지 않음</t>
        </is>
      </c>
      <c r="F38" s="14" t="inlineStr"/>
      <c r="G38" s="15" t="n">
        <v>2</v>
      </c>
      <c r="H38" s="14" t="inlineStr">
        <is>
          <t>기준일을 확인한다</t>
        </is>
      </c>
      <c r="I38" s="14" t="inlineStr">
        <is>
          <t>기준일이 초기값으로 돌아간다</t>
        </is>
      </c>
      <c r="J38" s="10" t="inlineStr">
        <is>
          <t>자동화 전용</t>
        </is>
      </c>
      <c r="K38" s="10" t="inlineStr">
        <is>
          <t>High</t>
        </is>
      </c>
      <c r="L38" s="16">
        <f>IF(COUNTIF(M38:M38,"Fail")&gt;0,"Fail",IF(COUNTIF(M38:M38,"Blocked")&gt;0,"Blocked",IF(COUNTIF(M38:M38,"NI")&gt;0,"NI",IF(COUNTIF(M38:M38,"Pass")&gt;0,"Pass",""))))</f>
        <v/>
      </c>
      <c r="M38" s="17" t="n"/>
      <c r="N38" s="18" t="n"/>
      <c r="O38" s="18" t="n"/>
      <c r="P38" s="14" t="n"/>
      <c r="Q38" s="10" t="inlineStr">
        <is>
          <t>TC-ENT-012</t>
        </is>
      </c>
      <c r="R38" s="10" t="inlineStr">
        <is>
          <t>금칙</t>
        </is>
      </c>
      <c r="S38" s="10" t="inlineStr">
        <is>
          <t>성인 인증</t>
        </is>
      </c>
    </row>
    <row r="39" ht="30" customHeight="1">
      <c r="B39" s="10">
        <f>ROW()-9</f>
        <v/>
      </c>
      <c r="C39" s="33" t="inlineStr">
        <is>
          <t>전역 셸</t>
        </is>
      </c>
      <c r="D39" s="34" t="inlineStr">
        <is>
          <t>상단 바</t>
        </is>
      </c>
      <c r="E39" s="35" t="inlineStr">
        <is>
          <t>로고로 홈 복귀</t>
        </is>
      </c>
      <c r="F39" s="14" t="inlineStr">
        <is>
          <t>계정 A로 로그인해 캐릭터 페이지를 연 상태</t>
        </is>
      </c>
      <c r="G39" s="15" t="n">
        <v>1</v>
      </c>
      <c r="H39" s="14" t="inlineStr">
        <is>
          <t>상단 바 로고 선택한다</t>
        </is>
      </c>
      <c r="I39" s="14" t="inlineStr">
        <is>
          <t>홈 화면 노출된다</t>
        </is>
      </c>
      <c r="J39" s="10" t="inlineStr">
        <is>
          <t>공통</t>
        </is>
      </c>
      <c r="K39" s="10" t="inlineStr">
        <is>
          <t>Low</t>
        </is>
      </c>
      <c r="L39" s="16">
        <f>IF(COUNTIF(M39:M39,"Fail")&gt;0,"Fail",IF(COUNTIF(M39:M39,"Blocked")&gt;0,"Blocked",IF(COUNTIF(M39:M39,"NI")&gt;0,"NI",IF(COUNTIF(M39:M39,"Pass")&gt;0,"Pass",""))))</f>
        <v/>
      </c>
      <c r="M39" s="17" t="n"/>
      <c r="N39" s="18" t="n"/>
      <c r="O39" s="18" t="n"/>
      <c r="P39" s="14" t="inlineStr">
        <is>
          <t>홈이 아닌 화면에서 눌렀을 때 복귀하는지를 봅니다. 홈에서 다시 누를 때의 동작은 TC-DSC-002가 맡습니다</t>
        </is>
      </c>
      <c r="Q39" s="10" t="inlineStr">
        <is>
          <t>TC-DSC-001</t>
        </is>
      </c>
      <c r="R39" s="10" t="inlineStr">
        <is>
          <t>결정적</t>
        </is>
      </c>
      <c r="S39" s="10" t="inlineStr">
        <is>
          <t>성인 인증</t>
        </is>
      </c>
    </row>
    <row r="40" ht="30" customHeight="1">
      <c r="B40" s="10">
        <f>ROW()-9</f>
        <v/>
      </c>
      <c r="C40" s="33" t="inlineStr">
        <is>
          <t>전역 셸</t>
        </is>
      </c>
      <c r="D40" s="34" t="inlineStr">
        <is>
          <t>상단 바</t>
        </is>
      </c>
      <c r="E40" s="36" t="inlineStr">
        <is>
          <t>홈에서 로고 재선택</t>
        </is>
      </c>
      <c r="F40" s="14" t="inlineStr">
        <is>
          <t>계정 A로 로그인해 홈 화면을 아래로 스크롤한 상태</t>
        </is>
      </c>
      <c r="G40" s="15" t="n">
        <v>1</v>
      </c>
      <c r="H40" s="14" t="inlineStr">
        <is>
          <t>상단 바 로고 선택한다</t>
        </is>
      </c>
      <c r="I40" s="14" t="inlineStr">
        <is>
          <t>홈 화면 유지된다</t>
        </is>
      </c>
      <c r="J40" s="10" t="inlineStr">
        <is>
          <t>공통</t>
        </is>
      </c>
      <c r="K40" s="10" t="inlineStr">
        <is>
          <t>Low</t>
        </is>
      </c>
      <c r="L40" s="16">
        <f>IF(COUNTIF(M40:M40,"Fail")&gt;0,"Fail",IF(COUNTIF(M40:M40,"Blocked")&gt;0,"Blocked",IF(COUNTIF(M40:M40,"NI")&gt;0,"NI",IF(COUNTIF(M40:M40,"Pass")&gt;0,"Pass",""))))</f>
        <v/>
      </c>
      <c r="M40" s="17" t="n"/>
      <c r="N40" s="18" t="n"/>
      <c r="O40" s="18" t="n"/>
      <c r="P40" s="14" t="inlineStr">
        <is>
          <t>같은 버튼이 화면에 따라 다르게 동작하는 자리라 TC-DSC-001과 나눴습니다</t>
        </is>
      </c>
      <c r="Q40" s="10" t="inlineStr">
        <is>
          <t>TC-DSC-002</t>
        </is>
      </c>
      <c r="R40" s="10" t="inlineStr">
        <is>
          <t>결정적</t>
        </is>
      </c>
      <c r="S40" s="10" t="inlineStr">
        <is>
          <t>성인 인증</t>
        </is>
      </c>
    </row>
    <row r="41" ht="30" customHeight="1">
      <c r="B41" s="10">
        <f>ROW()-9</f>
        <v/>
      </c>
      <c r="C41" s="33" t="inlineStr">
        <is>
          <t>전역 셸</t>
        </is>
      </c>
      <c r="D41" s="34" t="inlineStr">
        <is>
          <t>상단 바</t>
        </is>
      </c>
      <c r="E41" s="36" t="inlineStr">
        <is>
          <t>홈에서 로고 재선택</t>
        </is>
      </c>
      <c r="F41" s="19" t="n"/>
      <c r="G41" s="19" t="n"/>
      <c r="H41" s="19" t="n"/>
      <c r="I41" s="14" t="inlineStr">
        <is>
          <t>목록이 최상단으로 스크롤된다</t>
        </is>
      </c>
      <c r="J41" s="10" t="inlineStr">
        <is>
          <t>공통</t>
        </is>
      </c>
      <c r="K41" s="10" t="inlineStr">
        <is>
          <t>Low</t>
        </is>
      </c>
      <c r="L41" s="16">
        <f>IF(COUNTIF(M41:M41,"Fail")&gt;0,"Fail",IF(COUNTIF(M41:M41,"Blocked")&gt;0,"Blocked",IF(COUNTIF(M41:M41,"NI")&gt;0,"NI",IF(COUNTIF(M41:M41,"Pass")&gt;0,"Pass",""))))</f>
        <v/>
      </c>
      <c r="M41" s="17" t="n"/>
      <c r="N41" s="18" t="n"/>
      <c r="O41" s="18" t="n"/>
      <c r="P41" s="19" t="n"/>
      <c r="Q41" s="10" t="inlineStr">
        <is>
          <t>TC-DSC-002</t>
        </is>
      </c>
      <c r="R41" s="10" t="inlineStr">
        <is>
          <t>결정적</t>
        </is>
      </c>
      <c r="S41" s="10" t="inlineStr">
        <is>
          <t>성인 인증</t>
        </is>
      </c>
    </row>
    <row r="42" ht="30" customHeight="1">
      <c r="B42" s="10">
        <f>ROW()-9</f>
        <v/>
      </c>
      <c r="C42" s="33" t="inlineStr">
        <is>
          <t>전역 셸</t>
        </is>
      </c>
      <c r="D42" s="34" t="inlineStr">
        <is>
          <t>상단 바</t>
        </is>
      </c>
      <c r="E42" s="27" t="inlineStr">
        <is>
          <t>페이지 제목 부분일치 검색</t>
        </is>
      </c>
      <c r="F42" s="14" t="inlineStr">
        <is>
          <t>계정 A로 로그인한 상태</t>
        </is>
      </c>
      <c r="G42" s="15" t="n">
        <v>1</v>
      </c>
      <c r="H42" s="14" t="inlineStr">
        <is>
          <t>상단 바 검색에 페이지 제목의 일부를 입력하고 실행한다</t>
        </is>
      </c>
      <c r="I42" s="14" t="inlineStr">
        <is>
          <t>홈 화면에 검색 결과 노출된다</t>
        </is>
      </c>
      <c r="J42" s="10" t="inlineStr">
        <is>
          <t>공통</t>
        </is>
      </c>
      <c r="K42" s="10" t="inlineStr">
        <is>
          <t>High</t>
        </is>
      </c>
      <c r="L42" s="16">
        <f>IF(COUNTIF(M42:M42,"Fail")&gt;0,"Fail",IF(COUNTIF(M42:M42,"Blocked")&gt;0,"Blocked",IF(COUNTIF(M42:M42,"NI")&gt;0,"NI",IF(COUNTIF(M42:M42,"Pass")&gt;0,"Pass",""))))</f>
        <v/>
      </c>
      <c r="M42" s="17" t="n"/>
      <c r="N42" s="18" t="n"/>
      <c r="O42" s="18" t="n"/>
      <c r="P42" s="14" t="inlineStr">
        <is>
          <t>기본 데이터에서는 「우산」으로 「비 오는 날의 우산」이 걸립니다. 검색 결과가 별도 화면이 아니라 홈 화면에 표시되는 점을 함께 봅니다</t>
        </is>
      </c>
      <c r="Q42" s="10" t="inlineStr">
        <is>
          <t>TC-DSC-003</t>
        </is>
      </c>
      <c r="R42" s="10" t="inlineStr">
        <is>
          <t>결정적</t>
        </is>
      </c>
      <c r="S42" s="10" t="inlineStr">
        <is>
          <t>성인 인증</t>
        </is>
      </c>
    </row>
    <row r="43" ht="30" customHeight="1">
      <c r="B43" s="10">
        <f>ROW()-9</f>
        <v/>
      </c>
      <c r="C43" s="33" t="inlineStr">
        <is>
          <t>전역 셸</t>
        </is>
      </c>
      <c r="D43" s="34" t="inlineStr">
        <is>
          <t>상단 바</t>
        </is>
      </c>
      <c r="E43" s="27" t="inlineStr">
        <is>
          <t>페이지 제목 부분일치 검색</t>
        </is>
      </c>
      <c r="F43" s="19" t="n"/>
      <c r="G43" s="19" t="n"/>
      <c r="H43" s="19" t="n"/>
      <c r="I43" s="14" t="inlineStr">
        <is>
          <t>입력한 조각을 제목에 포함한 작품이 결과에 노출된다</t>
        </is>
      </c>
      <c r="J43" s="10" t="inlineStr">
        <is>
          <t>공통</t>
        </is>
      </c>
      <c r="K43" s="10" t="inlineStr">
        <is>
          <t>High</t>
        </is>
      </c>
      <c r="L43" s="16">
        <f>IF(COUNTIF(M43:M43,"Fail")&gt;0,"Fail",IF(COUNTIF(M43:M43,"Blocked")&gt;0,"Blocked",IF(COUNTIF(M43:M43,"NI")&gt;0,"NI",IF(COUNTIF(M43:M43,"Pass")&gt;0,"Pass",""))))</f>
        <v/>
      </c>
      <c r="M43" s="17" t="n"/>
      <c r="N43" s="18" t="n"/>
      <c r="O43" s="18" t="n"/>
      <c r="P43" s="19" t="n"/>
      <c r="Q43" s="10" t="inlineStr">
        <is>
          <t>TC-DSC-003</t>
        </is>
      </c>
      <c r="R43" s="10" t="inlineStr">
        <is>
          <t>결정적</t>
        </is>
      </c>
      <c r="S43" s="10" t="inlineStr">
        <is>
          <t>성인 인증</t>
        </is>
      </c>
    </row>
    <row r="44" ht="30" customHeight="1">
      <c r="B44" s="10">
        <f>ROW()-9</f>
        <v/>
      </c>
      <c r="C44" s="33" t="inlineStr">
        <is>
          <t>전역 셸</t>
        </is>
      </c>
      <c r="D44" s="34" t="inlineStr">
        <is>
          <t>상단 바</t>
        </is>
      </c>
      <c r="E44" s="30" t="inlineStr">
        <is>
          <t>페이지 카테고리 부분일치 검색</t>
        </is>
      </c>
      <c r="F44" s="14" t="inlineStr">
        <is>
          <t>계정 A로 로그인한 상태</t>
        </is>
      </c>
      <c r="G44" s="15" t="n">
        <v>1</v>
      </c>
      <c r="H44" s="14" t="inlineStr">
        <is>
          <t>상단 바 검색에 페이지 카테고리명을 입력하고 실행한다</t>
        </is>
      </c>
      <c r="I44" s="14" t="inlineStr">
        <is>
          <t>그 카테고리를 가진 작품이 결과에 노출된다</t>
        </is>
      </c>
      <c r="J44" s="10" t="inlineStr">
        <is>
          <t>공통</t>
        </is>
      </c>
      <c r="K44" s="10" t="inlineStr">
        <is>
          <t>High</t>
        </is>
      </c>
      <c r="L44" s="16">
        <f>IF(COUNTIF(M44:M44,"Fail")&gt;0,"Fail",IF(COUNTIF(M44:M44,"Blocked")&gt;0,"Blocked",IF(COUNTIF(M44:M44,"NI")&gt;0,"NI",IF(COUNTIF(M44:M44,"Pass")&gt;0,"Pass",""))))</f>
        <v/>
      </c>
      <c r="M44" s="17" t="n"/>
      <c r="N44" s="18" t="n"/>
      <c r="O44" s="18" t="n"/>
      <c r="P44" s="14" t="inlineStr">
        <is>
          <t>기본 데이터에서는 「로맨스」로 세 작품이 걸립니다. 제목과 카테고리 두 축이 모두 검색 대상이라 TC-DSC-003과 나눴습니다</t>
        </is>
      </c>
      <c r="Q44" s="10" t="inlineStr">
        <is>
          <t>TC-DSC-004</t>
        </is>
      </c>
      <c r="R44" s="10" t="inlineStr">
        <is>
          <t>결정적</t>
        </is>
      </c>
      <c r="S44" s="10" t="inlineStr">
        <is>
          <t>성인 인증</t>
        </is>
      </c>
    </row>
    <row r="45" ht="30" customHeight="1">
      <c r="B45" s="10">
        <f>ROW()-9</f>
        <v/>
      </c>
      <c r="C45" s="33" t="inlineStr">
        <is>
          <t>전역 셸</t>
        </is>
      </c>
      <c r="D45" s="34" t="inlineStr">
        <is>
          <t>상단 바</t>
        </is>
      </c>
      <c r="E45" s="37" t="inlineStr">
        <is>
          <t>검색 결과 0건 안내</t>
        </is>
      </c>
      <c r="F45" s="14" t="inlineStr">
        <is>
          <t>계정 A로 로그인한 상태</t>
        </is>
      </c>
      <c r="G45" s="15" t="n">
        <v>1</v>
      </c>
      <c r="H45" s="14" t="inlineStr">
        <is>
          <t>상단 바 검색에 어느 제목·카테고리와도 겹치지 않는 문자열을 입력하고 실행한다</t>
        </is>
      </c>
      <c r="I45" s="14" t="inlineStr">
        <is>
          <t>결과 0건 안내 문구 노출된다</t>
        </is>
      </c>
      <c r="J45" s="10" t="inlineStr">
        <is>
          <t>공통</t>
        </is>
      </c>
      <c r="K45" s="10" t="inlineStr">
        <is>
          <t>Medium</t>
        </is>
      </c>
      <c r="L45" s="16">
        <f>IF(COUNTIF(M45:M45,"Fail")&gt;0,"Fail",IF(COUNTIF(M45:M45,"Blocked")&gt;0,"Blocked",IF(COUNTIF(M45:M45,"NI")&gt;0,"NI",IF(COUNTIF(M45:M45,"Pass")&gt;0,"Pass",""))))</f>
        <v/>
      </c>
      <c r="M45" s="17" t="n"/>
      <c r="N45" s="18" t="n"/>
      <c r="O45" s="18" t="n"/>
      <c r="P45" s="14" t="inlineStr">
        <is>
          <t>빈 결과에서 목록만 비고 안내가 없으면 검색이 안 걸린 것인지 결과가 없는 것인지 구분되지 않습니다</t>
        </is>
      </c>
      <c r="Q45" s="10" t="inlineStr">
        <is>
          <t>TC-DSC-005</t>
        </is>
      </c>
      <c r="R45" s="10" t="inlineStr">
        <is>
          <t>결정적</t>
        </is>
      </c>
      <c r="S45" s="10" t="inlineStr">
        <is>
          <t>성인 인증</t>
        </is>
      </c>
    </row>
    <row r="46" ht="30" customHeight="1">
      <c r="B46" s="10">
        <f>ROW()-9</f>
        <v/>
      </c>
      <c r="C46" s="33" t="inlineStr">
        <is>
          <t>전역 셸</t>
        </is>
      </c>
      <c r="D46" s="34" t="inlineStr">
        <is>
          <t>상단 바</t>
        </is>
      </c>
      <c r="E46" s="38" t="inlineStr">
        <is>
          <t>알림 목록이 데이터 시트를 반영</t>
        </is>
      </c>
      <c r="F46" s="14" t="inlineStr">
        <is>
          <t>계정 A로 로그인한 상태</t>
        </is>
      </c>
      <c r="G46" s="15" t="n">
        <v>1</v>
      </c>
      <c r="H46" s="14" t="inlineStr">
        <is>
          <t>상단 바 알림 선택한다</t>
        </is>
      </c>
      <c r="I46" s="14" t="inlineStr">
        <is>
          <t>알림 목록 노출된다</t>
        </is>
      </c>
      <c r="J46" s="10" t="inlineStr">
        <is>
          <t>공통</t>
        </is>
      </c>
      <c r="K46" s="10" t="inlineStr">
        <is>
          <t>Low</t>
        </is>
      </c>
      <c r="L46" s="16">
        <f>IF(COUNTIF(M46:M46,"Fail")&gt;0,"Fail",IF(COUNTIF(M46:M46,"Blocked")&gt;0,"Blocked",IF(COUNTIF(M46:M46,"NI")&gt;0,"NI",IF(COUNTIF(M46:M46,"Pass")&gt;0,"Pass",""))))</f>
        <v/>
      </c>
      <c r="M46" s="17" t="n"/>
      <c r="N46" s="18" t="n"/>
      <c r="O46" s="18" t="n"/>
      <c r="P46" s="14" t="inlineStr">
        <is>
          <t>발생 로직은 없고 표시 반영만 검증합니다. 항목은 디버그 콘솔에서 늘리고 비울 수 있습니다</t>
        </is>
      </c>
      <c r="Q46" s="10" t="inlineStr">
        <is>
          <t>TC-DSC-006</t>
        </is>
      </c>
      <c r="R46" s="10" t="inlineStr">
        <is>
          <t>결정적</t>
        </is>
      </c>
      <c r="S46" s="10" t="inlineStr">
        <is>
          <t>성인 인증</t>
        </is>
      </c>
    </row>
    <row r="47" ht="30" customHeight="1">
      <c r="B47" s="10">
        <f>ROW()-9</f>
        <v/>
      </c>
      <c r="C47" s="33" t="inlineStr">
        <is>
          <t>전역 셸</t>
        </is>
      </c>
      <c r="D47" s="34" t="inlineStr">
        <is>
          <t>상단 바</t>
        </is>
      </c>
      <c r="E47" s="38" t="inlineStr">
        <is>
          <t>알림 목록이 데이터 시트를 반영</t>
        </is>
      </c>
      <c r="F47" s="19" t="n"/>
      <c r="G47" s="19" t="n"/>
      <c r="H47" s="19" t="n"/>
      <c r="I47" s="14" t="inlineStr">
        <is>
          <t>데이터 시트의 알림 항목이 목록에 노출된다</t>
        </is>
      </c>
      <c r="J47" s="10" t="inlineStr">
        <is>
          <t>공통</t>
        </is>
      </c>
      <c r="K47" s="10" t="inlineStr">
        <is>
          <t>Low</t>
        </is>
      </c>
      <c r="L47" s="16">
        <f>IF(COUNTIF(M47:M47,"Fail")&gt;0,"Fail",IF(COUNTIF(M47:M47,"Blocked")&gt;0,"Blocked",IF(COUNTIF(M47:M47,"NI")&gt;0,"NI",IF(COUNTIF(M47:M47,"Pass")&gt;0,"Pass",""))))</f>
        <v/>
      </c>
      <c r="M47" s="17" t="n"/>
      <c r="N47" s="18" t="n"/>
      <c r="O47" s="18" t="n"/>
      <c r="P47" s="19" t="n"/>
      <c r="Q47" s="10" t="inlineStr">
        <is>
          <t>TC-DSC-006</t>
        </is>
      </c>
      <c r="R47" s="10" t="inlineStr">
        <is>
          <t>결정적</t>
        </is>
      </c>
      <c r="S47" s="10" t="inlineStr">
        <is>
          <t>성인 인증</t>
        </is>
      </c>
    </row>
    <row r="48" ht="30" customHeight="1">
      <c r="B48" s="10">
        <f>ROW()-9</f>
        <v/>
      </c>
      <c r="C48" s="33" t="inlineStr">
        <is>
          <t>전역 셸</t>
        </is>
      </c>
      <c r="D48" s="34" t="inlineStr">
        <is>
          <t>상단 바</t>
        </is>
      </c>
      <c r="E48" s="39" t="inlineStr">
        <is>
          <t>알림 빈 상태 안내</t>
        </is>
      </c>
      <c r="F48" s="14" t="inlineStr">
        <is>
          <t>계정 A로 로그인하고 디버그 콘솔에서 알림을 모두 비운 상태</t>
        </is>
      </c>
      <c r="G48" s="15" t="n">
        <v>1</v>
      </c>
      <c r="H48" s="14" t="inlineStr">
        <is>
          <t>상단 바 알림 선택한다</t>
        </is>
      </c>
      <c r="I48" s="14" t="inlineStr">
        <is>
          <t>빈 상태 안내 노출된다</t>
        </is>
      </c>
      <c r="J48" s="10" t="inlineStr">
        <is>
          <t>공통</t>
        </is>
      </c>
      <c r="K48" s="10" t="inlineStr">
        <is>
          <t>Low</t>
        </is>
      </c>
      <c r="L48" s="16">
        <f>IF(COUNTIF(M48:M48,"Fail")&gt;0,"Fail",IF(COUNTIF(M48:M48,"Blocked")&gt;0,"Blocked",IF(COUNTIF(M48:M48,"NI")&gt;0,"NI",IF(COUNTIF(M48:M48,"Pass")&gt;0,"Pass",""))))</f>
        <v/>
      </c>
      <c r="M48" s="17" t="n"/>
      <c r="N48" s="18" t="n"/>
      <c r="O48" s="18" t="n"/>
      <c r="P48" s="14" t="inlineStr">
        <is>
          <t>디버그 콘솔의 [알림 비우기] 뒤 [저장]으로 조건을 만듭니다</t>
        </is>
      </c>
      <c r="Q48" s="10" t="inlineStr">
        <is>
          <t>TC-DSC-007</t>
        </is>
      </c>
      <c r="R48" s="10" t="inlineStr">
        <is>
          <t>결정적</t>
        </is>
      </c>
      <c r="S48" s="10" t="inlineStr">
        <is>
          <t>성인 인증</t>
        </is>
      </c>
    </row>
    <row r="49" ht="30" customHeight="1">
      <c r="B49" s="10">
        <f>ROW()-9</f>
        <v/>
      </c>
      <c r="C49" s="33" t="inlineStr">
        <is>
          <t>전역 셸</t>
        </is>
      </c>
      <c r="D49" s="34" t="inlineStr">
        <is>
          <t>상단 바</t>
        </is>
      </c>
      <c r="E49" s="40" t="inlineStr">
        <is>
          <t>미로그인 알림 열람 차단</t>
        </is>
      </c>
      <c r="F49" s="14" t="inlineStr">
        <is>
          <t>미로그인 상태</t>
        </is>
      </c>
      <c r="G49" s="15" t="n">
        <v>1</v>
      </c>
      <c r="H49" s="14" t="inlineStr">
        <is>
          <t>상단 바 알림 선택한다</t>
        </is>
      </c>
      <c r="I49" s="14" t="inlineStr">
        <is>
          <t>알림 목록 노출되지 않는다</t>
        </is>
      </c>
      <c r="J49" s="10" t="inlineStr">
        <is>
          <t>공통</t>
        </is>
      </c>
      <c r="K49" s="10" t="inlineStr">
        <is>
          <t>High</t>
        </is>
      </c>
      <c r="L49" s="16">
        <f>IF(COUNTIF(M49:M49,"Fail")&gt;0,"Fail",IF(COUNTIF(M49:M49,"Blocked")&gt;0,"Blocked",IF(COUNTIF(M49:M49,"NI")&gt;0,"NI",IF(COUNTIF(M49:M49,"Pass")&gt;0,"Pass",""))))</f>
        <v/>
      </c>
      <c r="M49" s="17" t="n"/>
      <c r="N49" s="18" t="n"/>
      <c r="O49" s="18" t="n"/>
      <c r="P49" s="14" t="inlineStr">
        <is>
          <t>알림 열람은 명세 §1-1의 로그인 필요 동작입니다. 상단 바에는 잔액·간편 프로필 대신 로그인 버튼이 놓입니다</t>
        </is>
      </c>
      <c r="Q49" s="10" t="inlineStr">
        <is>
          <t>TC-GAT-007</t>
        </is>
      </c>
      <c r="R49" s="10" t="inlineStr">
        <is>
          <t>금칙</t>
        </is>
      </c>
      <c r="S49" s="10" t="inlineStr">
        <is>
          <t>미로그인</t>
        </is>
      </c>
    </row>
    <row r="50" ht="30" customHeight="1">
      <c r="B50" s="10">
        <f>ROW()-9</f>
        <v/>
      </c>
      <c r="C50" s="33" t="inlineStr">
        <is>
          <t>전역 셸</t>
        </is>
      </c>
      <c r="D50" s="34" t="inlineStr">
        <is>
          <t>상단 바</t>
        </is>
      </c>
      <c r="E50" s="40" t="inlineStr">
        <is>
          <t>미로그인 알림 열람 차단</t>
        </is>
      </c>
      <c r="F50" s="19" t="n"/>
      <c r="G50" s="19" t="n"/>
      <c r="H50" s="19" t="n"/>
      <c r="I50" s="14" t="inlineStr">
        <is>
          <t>로그인 모달 노출된다</t>
        </is>
      </c>
      <c r="J50" s="10" t="inlineStr">
        <is>
          <t>공통</t>
        </is>
      </c>
      <c r="K50" s="10" t="inlineStr">
        <is>
          <t>High</t>
        </is>
      </c>
      <c r="L50" s="16">
        <f>IF(COUNTIF(M50:M50,"Fail")&gt;0,"Fail",IF(COUNTIF(M50:M50,"Blocked")&gt;0,"Blocked",IF(COUNTIF(M50:M50,"NI")&gt;0,"NI",IF(COUNTIF(M50:M50,"Pass")&gt;0,"Pass",""))))</f>
        <v/>
      </c>
      <c r="M50" s="17" t="n"/>
      <c r="N50" s="18" t="n"/>
      <c r="O50" s="18" t="n"/>
      <c r="P50" s="19" t="n"/>
      <c r="Q50" s="10" t="inlineStr">
        <is>
          <t>TC-GAT-007</t>
        </is>
      </c>
      <c r="R50" s="10" t="inlineStr">
        <is>
          <t>금칙</t>
        </is>
      </c>
      <c r="S50" s="10" t="inlineStr">
        <is>
          <t>미로그인</t>
        </is>
      </c>
    </row>
    <row r="51" ht="30" customHeight="1">
      <c r="B51" s="10">
        <f>ROW()-9</f>
        <v/>
      </c>
      <c r="C51" s="33" t="inlineStr">
        <is>
          <t>전역 셸</t>
        </is>
      </c>
      <c r="D51" s="41" t="inlineStr">
        <is>
          <t>하단 내비</t>
        </is>
      </c>
      <c r="E51" s="42" t="inlineStr">
        <is>
          <t>홈 탭 재선택</t>
        </is>
      </c>
      <c r="F51" s="14" t="inlineStr">
        <is>
          <t>계정 A로 로그인해 홈 화면에서 랭킹 칩을 고르고 아래로 스크롤한 상태</t>
        </is>
      </c>
      <c r="G51" s="15" t="n">
        <v>1</v>
      </c>
      <c r="H51" s="14" t="inlineStr">
        <is>
          <t>하단 내비 홈 탭 선택한다</t>
        </is>
      </c>
      <c r="I51" s="14" t="inlineStr">
        <is>
          <t>활성 필터 칩 유지된다</t>
        </is>
      </c>
      <c r="J51" s="10" t="inlineStr">
        <is>
          <t>공통</t>
        </is>
      </c>
      <c r="K51" s="10" t="inlineStr">
        <is>
          <t>Low</t>
        </is>
      </c>
      <c r="L51" s="16">
        <f>IF(COUNTIF(M51:M51,"Fail")&gt;0,"Fail",IF(COUNTIF(M51:M51,"Blocked")&gt;0,"Blocked",IF(COUNTIF(M51:M51,"NI")&gt;0,"NI",IF(COUNTIF(M51:M51,"Pass")&gt;0,"Pass",""))))</f>
        <v/>
      </c>
      <c r="M51" s="17" t="n"/>
      <c r="N51" s="18" t="n"/>
      <c r="O51" s="18" t="n"/>
      <c r="P51" s="14" t="inlineStr">
        <is>
          <t>칩이 기본값으로 돌아가면 「돌아왔을 때 그대로인가」를 확인할 수 없습니다</t>
        </is>
      </c>
      <c r="Q51" s="10" t="inlineStr">
        <is>
          <t>TC-DSC-008</t>
        </is>
      </c>
      <c r="R51" s="10" t="inlineStr">
        <is>
          <t>결정적</t>
        </is>
      </c>
      <c r="S51" s="10" t="inlineStr">
        <is>
          <t>성인 인증</t>
        </is>
      </c>
    </row>
    <row r="52" ht="30" customHeight="1">
      <c r="B52" s="10">
        <f>ROW()-9</f>
        <v/>
      </c>
      <c r="C52" s="33" t="inlineStr">
        <is>
          <t>전역 셸</t>
        </is>
      </c>
      <c r="D52" s="41" t="inlineStr">
        <is>
          <t>하단 내비</t>
        </is>
      </c>
      <c r="E52" s="42" t="inlineStr">
        <is>
          <t>홈 탭 재선택</t>
        </is>
      </c>
      <c r="F52" s="19" t="n"/>
      <c r="G52" s="19" t="n"/>
      <c r="H52" s="19" t="n"/>
      <c r="I52" s="14" t="inlineStr">
        <is>
          <t>목록이 최상단으로 스크롤된다</t>
        </is>
      </c>
      <c r="J52" s="10" t="inlineStr">
        <is>
          <t>공통</t>
        </is>
      </c>
      <c r="K52" s="10" t="inlineStr">
        <is>
          <t>Low</t>
        </is>
      </c>
      <c r="L52" s="16">
        <f>IF(COUNTIF(M52:M52,"Fail")&gt;0,"Fail",IF(COUNTIF(M52:M52,"Blocked")&gt;0,"Blocked",IF(COUNTIF(M52:M52,"NI")&gt;0,"NI",IF(COUNTIF(M52:M52,"Pass")&gt;0,"Pass",""))))</f>
        <v/>
      </c>
      <c r="M52" s="17" t="n"/>
      <c r="N52" s="18" t="n"/>
      <c r="O52" s="18" t="n"/>
      <c r="P52" s="19" t="n"/>
      <c r="Q52" s="10" t="inlineStr">
        <is>
          <t>TC-DSC-008</t>
        </is>
      </c>
      <c r="R52" s="10" t="inlineStr">
        <is>
          <t>결정적</t>
        </is>
      </c>
      <c r="S52" s="10" t="inlineStr">
        <is>
          <t>성인 인증</t>
        </is>
      </c>
    </row>
    <row r="53" ht="30" customHeight="1">
      <c r="B53" s="10">
        <f>ROW()-9</f>
        <v/>
      </c>
      <c r="C53" s="33" t="inlineStr">
        <is>
          <t>전역 셸</t>
        </is>
      </c>
      <c r="D53" s="41" t="inlineStr">
        <is>
          <t>하단 내비</t>
        </is>
      </c>
      <c r="E53" s="43" t="inlineStr">
        <is>
          <t>미로그인 채팅 탭 차단</t>
        </is>
      </c>
      <c r="F53" s="14" t="inlineStr">
        <is>
          <t>미로그인 상태</t>
        </is>
      </c>
      <c r="G53" s="15" t="n">
        <v>1</v>
      </c>
      <c r="H53" s="14" t="inlineStr">
        <is>
          <t>하단 내비 채팅 탭 선택한다</t>
        </is>
      </c>
      <c r="I53" s="14" t="inlineStr">
        <is>
          <t>채팅 탭 열리지 않는다</t>
        </is>
      </c>
      <c r="J53" s="10" t="inlineStr">
        <is>
          <t>공통</t>
        </is>
      </c>
      <c r="K53" s="10" t="inlineStr">
        <is>
          <t>High</t>
        </is>
      </c>
      <c r="L53" s="16">
        <f>IF(COUNTIF(M53:M53,"Fail")&gt;0,"Fail",IF(COUNTIF(M53:M53,"Blocked")&gt;0,"Blocked",IF(COUNTIF(M53:M53,"NI")&gt;0,"NI",IF(COUNTIF(M53:M53,"Pass")&gt;0,"Pass",""))))</f>
        <v/>
      </c>
      <c r="M53" s="17" t="n"/>
      <c r="N53" s="18" t="n"/>
      <c r="O53" s="18" t="n"/>
      <c r="P53" s="14" t="inlineStr">
        <is>
          <t>셸 안에서 막히는 경우라 로그인 화면이 아니라 모달이 뜨고 뒤 화면은 그대로 남습니다(system-spec §1-1)</t>
        </is>
      </c>
      <c r="Q53" s="10" t="inlineStr">
        <is>
          <t>TC-GAT-008</t>
        </is>
      </c>
      <c r="R53" s="10" t="inlineStr">
        <is>
          <t>금칙</t>
        </is>
      </c>
      <c r="S53" s="10" t="inlineStr">
        <is>
          <t>미로그인</t>
        </is>
      </c>
    </row>
    <row r="54" ht="30" customHeight="1">
      <c r="B54" s="10">
        <f>ROW()-9</f>
        <v/>
      </c>
      <c r="C54" s="33" t="inlineStr">
        <is>
          <t>전역 셸</t>
        </is>
      </c>
      <c r="D54" s="41" t="inlineStr">
        <is>
          <t>하단 내비</t>
        </is>
      </c>
      <c r="E54" s="43" t="inlineStr">
        <is>
          <t>미로그인 채팅 탭 차단</t>
        </is>
      </c>
      <c r="F54" s="19" t="n"/>
      <c r="G54" s="19" t="n"/>
      <c r="H54" s="19" t="n"/>
      <c r="I54" s="14" t="inlineStr">
        <is>
          <t>로그인 모달 노출된다</t>
        </is>
      </c>
      <c r="J54" s="10" t="inlineStr">
        <is>
          <t>공통</t>
        </is>
      </c>
      <c r="K54" s="10" t="inlineStr">
        <is>
          <t>High</t>
        </is>
      </c>
      <c r="L54" s="16">
        <f>IF(COUNTIF(M54:M54,"Fail")&gt;0,"Fail",IF(COUNTIF(M54:M54,"Blocked")&gt;0,"Blocked",IF(COUNTIF(M54:M54,"NI")&gt;0,"NI",IF(COUNTIF(M54:M54,"Pass")&gt;0,"Pass",""))))</f>
        <v/>
      </c>
      <c r="M54" s="17" t="n"/>
      <c r="N54" s="18" t="n"/>
      <c r="O54" s="18" t="n"/>
      <c r="P54" s="19" t="n"/>
      <c r="Q54" s="10" t="inlineStr">
        <is>
          <t>TC-GAT-008</t>
        </is>
      </c>
      <c r="R54" s="10" t="inlineStr">
        <is>
          <t>금칙</t>
        </is>
      </c>
      <c r="S54" s="10" t="inlineStr">
        <is>
          <t>미로그인</t>
        </is>
      </c>
    </row>
    <row r="55" ht="30" customHeight="1">
      <c r="B55" s="10">
        <f>ROW()-9</f>
        <v/>
      </c>
      <c r="C55" s="33" t="inlineStr">
        <is>
          <t>전역 셸</t>
        </is>
      </c>
      <c r="D55" s="41" t="inlineStr">
        <is>
          <t>하단 내비</t>
        </is>
      </c>
      <c r="E55" s="44" t="inlineStr">
        <is>
          <t>미로그인 MY 탭 차단</t>
        </is>
      </c>
      <c r="F55" s="14" t="inlineStr">
        <is>
          <t>미로그인 상태</t>
        </is>
      </c>
      <c r="G55" s="15" t="n">
        <v>1</v>
      </c>
      <c r="H55" s="14" t="inlineStr">
        <is>
          <t>하단 내비 MY 탭 선택한다</t>
        </is>
      </c>
      <c r="I55" s="14" t="inlineStr">
        <is>
          <t>MY 탭 열리지 않는다</t>
        </is>
      </c>
      <c r="J55" s="10" t="inlineStr">
        <is>
          <t>공통</t>
        </is>
      </c>
      <c r="K55" s="10" t="inlineStr">
        <is>
          <t>High</t>
        </is>
      </c>
      <c r="L55" s="16">
        <f>IF(COUNTIF(M55:M55,"Fail")&gt;0,"Fail",IF(COUNTIF(M55:M55,"Blocked")&gt;0,"Blocked",IF(COUNTIF(M55:M55,"NI")&gt;0,"NI",IF(COUNTIF(M55:M55,"Pass")&gt;0,"Pass",""))))</f>
        <v/>
      </c>
      <c r="M55" s="17" t="n"/>
      <c r="N55" s="18" t="n"/>
      <c r="O55" s="18" t="n"/>
      <c r="P55" s="14" t="inlineStr">
        <is>
          <t>탭마다 케이스를 나눈 것은 하나만 뚫렸을 때 어느 탭인지 TC ID로 읽히게 하기 위해서입니다</t>
        </is>
      </c>
      <c r="Q55" s="10" t="inlineStr">
        <is>
          <t>TC-GAT-009</t>
        </is>
      </c>
      <c r="R55" s="10" t="inlineStr">
        <is>
          <t>금칙</t>
        </is>
      </c>
      <c r="S55" s="10" t="inlineStr">
        <is>
          <t>미로그인</t>
        </is>
      </c>
    </row>
    <row r="56" ht="30" customHeight="1">
      <c r="B56" s="10">
        <f>ROW()-9</f>
        <v/>
      </c>
      <c r="C56" s="33" t="inlineStr">
        <is>
          <t>전역 셸</t>
        </is>
      </c>
      <c r="D56" s="41" t="inlineStr">
        <is>
          <t>하단 내비</t>
        </is>
      </c>
      <c r="E56" s="44" t="inlineStr">
        <is>
          <t>미로그인 MY 탭 차단</t>
        </is>
      </c>
      <c r="F56" s="19" t="n"/>
      <c r="G56" s="19" t="n"/>
      <c r="H56" s="19" t="n"/>
      <c r="I56" s="14" t="inlineStr">
        <is>
          <t>로그인 모달 노출된다</t>
        </is>
      </c>
      <c r="J56" s="10" t="inlineStr">
        <is>
          <t>공통</t>
        </is>
      </c>
      <c r="K56" s="10" t="inlineStr">
        <is>
          <t>High</t>
        </is>
      </c>
      <c r="L56" s="16">
        <f>IF(COUNTIF(M56:M56,"Fail")&gt;0,"Fail",IF(COUNTIF(M56:M56,"Blocked")&gt;0,"Blocked",IF(COUNTIF(M56:M56,"NI")&gt;0,"NI",IF(COUNTIF(M56:M56,"Pass")&gt;0,"Pass",""))))</f>
        <v/>
      </c>
      <c r="M56" s="17" t="n"/>
      <c r="N56" s="18" t="n"/>
      <c r="O56" s="18" t="n"/>
      <c r="P56" s="19" t="n"/>
      <c r="Q56" s="10" t="inlineStr">
        <is>
          <t>TC-GAT-009</t>
        </is>
      </c>
      <c r="R56" s="10" t="inlineStr">
        <is>
          <t>금칙</t>
        </is>
      </c>
      <c r="S56" s="10" t="inlineStr">
        <is>
          <t>미로그인</t>
        </is>
      </c>
    </row>
    <row r="57" ht="30" customHeight="1">
      <c r="B57" s="10">
        <f>ROW()-9</f>
        <v/>
      </c>
      <c r="C57" s="33" t="inlineStr">
        <is>
          <t>전역 셸</t>
        </is>
      </c>
      <c r="D57" s="41" t="inlineStr">
        <is>
          <t>하단 내비</t>
        </is>
      </c>
      <c r="E57" s="45" t="inlineStr">
        <is>
          <t>미로그인 내 작품 탭 차단</t>
        </is>
      </c>
      <c r="F57" s="14" t="inlineStr">
        <is>
          <t>미로그인 상태</t>
        </is>
      </c>
      <c r="G57" s="15" t="n">
        <v>1</v>
      </c>
      <c r="H57" s="14" t="inlineStr">
        <is>
          <t>하단 내비 내 작품 탭 선택한다</t>
        </is>
      </c>
      <c r="I57" s="14" t="inlineStr">
        <is>
          <t>내 작품 탭 열리지 않는다</t>
        </is>
      </c>
      <c r="J57" s="10" t="inlineStr">
        <is>
          <t>공통</t>
        </is>
      </c>
      <c r="K57" s="10" t="inlineStr">
        <is>
          <t>High</t>
        </is>
      </c>
      <c r="L57" s="16">
        <f>IF(COUNTIF(M57:M57,"Fail")&gt;0,"Fail",IF(COUNTIF(M57:M57,"Blocked")&gt;0,"Blocked",IF(COUNTIF(M57:M57,"NI")&gt;0,"NI",IF(COUNTIF(M57:M57,"Pass")&gt;0,"Pass",""))))</f>
        <v/>
      </c>
      <c r="M57" s="17" t="n"/>
      <c r="N57" s="18" t="n"/>
      <c r="O57" s="18" t="n"/>
      <c r="P57" s="14" t="inlineStr">
        <is>
          <t>내 작품 탭은 스텁이지만 로그인 필요 화면이라 차단은 걸립니다</t>
        </is>
      </c>
      <c r="Q57" s="10" t="inlineStr">
        <is>
          <t>TC-GAT-010</t>
        </is>
      </c>
      <c r="R57" s="10" t="inlineStr">
        <is>
          <t>금칙</t>
        </is>
      </c>
      <c r="S57" s="10" t="inlineStr">
        <is>
          <t>미로그인</t>
        </is>
      </c>
    </row>
    <row r="58" ht="30" customHeight="1">
      <c r="B58" s="10">
        <f>ROW()-9</f>
        <v/>
      </c>
      <c r="C58" s="33" t="inlineStr">
        <is>
          <t>전역 셸</t>
        </is>
      </c>
      <c r="D58" s="41" t="inlineStr">
        <is>
          <t>하단 내비</t>
        </is>
      </c>
      <c r="E58" s="45" t="inlineStr">
        <is>
          <t>미로그인 내 작품 탭 차단</t>
        </is>
      </c>
      <c r="F58" s="19" t="n"/>
      <c r="G58" s="19" t="n"/>
      <c r="H58" s="19" t="n"/>
      <c r="I58" s="14" t="inlineStr">
        <is>
          <t>로그인 모달 노출된다</t>
        </is>
      </c>
      <c r="J58" s="10" t="inlineStr">
        <is>
          <t>공통</t>
        </is>
      </c>
      <c r="K58" s="10" t="inlineStr">
        <is>
          <t>High</t>
        </is>
      </c>
      <c r="L58" s="16">
        <f>IF(COUNTIF(M58:M58,"Fail")&gt;0,"Fail",IF(COUNTIF(M58:M58,"Blocked")&gt;0,"Blocked",IF(COUNTIF(M58:M58,"NI")&gt;0,"NI",IF(COUNTIF(M58:M58,"Pass")&gt;0,"Pass",""))))</f>
        <v/>
      </c>
      <c r="M58" s="17" t="n"/>
      <c r="N58" s="18" t="n"/>
      <c r="O58" s="18" t="n"/>
      <c r="P58" s="19" t="n"/>
      <c r="Q58" s="10" t="inlineStr">
        <is>
          <t>TC-GAT-010</t>
        </is>
      </c>
      <c r="R58" s="10" t="inlineStr">
        <is>
          <t>금칙</t>
        </is>
      </c>
      <c r="S58" s="10" t="inlineStr">
        <is>
          <t>미로그인</t>
        </is>
      </c>
    </row>
    <row r="59" ht="30" customHeight="1">
      <c r="B59" s="10">
        <f>ROW()-9</f>
        <v/>
      </c>
      <c r="C59" s="33" t="inlineStr">
        <is>
          <t>전역 셸</t>
        </is>
      </c>
      <c r="D59" s="41" t="inlineStr">
        <is>
          <t>하단 내비</t>
        </is>
      </c>
      <c r="E59" s="46" t="inlineStr">
        <is>
          <t>미로그인 커뮤니티 탭 통과</t>
        </is>
      </c>
      <c r="F59" s="14" t="inlineStr">
        <is>
          <t>미로그인 상태</t>
        </is>
      </c>
      <c r="G59" s="15" t="n">
        <v>1</v>
      </c>
      <c r="H59" s="14" t="inlineStr">
        <is>
          <t>하단 내비 커뮤니티 탭 선택한다</t>
        </is>
      </c>
      <c r="I59" s="14" t="inlineStr">
        <is>
          <t>커뮤니티 탭 노출된다</t>
        </is>
      </c>
      <c r="J59" s="10" t="inlineStr">
        <is>
          <t>공통</t>
        </is>
      </c>
      <c r="K59" s="10" t="inlineStr">
        <is>
          <t>Medium</t>
        </is>
      </c>
      <c r="L59" s="16">
        <f>IF(COUNTIF(M59:M59,"Fail")&gt;0,"Fail",IF(COUNTIF(M59:M59,"Blocked")&gt;0,"Blocked",IF(COUNTIF(M59:M59,"NI")&gt;0,"NI",IF(COUNTIF(M59:M59,"Pass")&gt;0,"Pass",""))))</f>
        <v/>
      </c>
      <c r="M59" s="17" t="n"/>
      <c r="N59" s="18" t="n"/>
      <c r="O59" s="18" t="n"/>
      <c r="P59" s="14" t="inlineStr">
        <is>
          <t>차단이 공개 탭까지 과하게 걸리지 않는지를 보는 자리라 위 차단 케이스들과 함께 읽습니다</t>
        </is>
      </c>
      <c r="Q59" s="10" t="inlineStr">
        <is>
          <t>TC-DSC-009</t>
        </is>
      </c>
      <c r="R59" s="10" t="inlineStr">
        <is>
          <t>결정적</t>
        </is>
      </c>
      <c r="S59" s="10" t="inlineStr">
        <is>
          <t>미로그인</t>
        </is>
      </c>
    </row>
    <row r="60" ht="30" customHeight="1">
      <c r="B60" s="10">
        <f>ROW()-9</f>
        <v/>
      </c>
      <c r="C60" s="33" t="inlineStr">
        <is>
          <t>전역 셸</t>
        </is>
      </c>
      <c r="D60" s="41" t="inlineStr">
        <is>
          <t>하단 내비</t>
        </is>
      </c>
      <c r="E60" s="46" t="inlineStr">
        <is>
          <t>미로그인 커뮤니티 탭 통과</t>
        </is>
      </c>
      <c r="F60" s="19" t="n"/>
      <c r="G60" s="19" t="n"/>
      <c r="H60" s="19" t="n"/>
      <c r="I60" s="14" t="inlineStr">
        <is>
          <t>로그인 모달 노출되지 않는다</t>
        </is>
      </c>
      <c r="J60" s="10" t="inlineStr">
        <is>
          <t>공통</t>
        </is>
      </c>
      <c r="K60" s="10" t="inlineStr">
        <is>
          <t>Medium</t>
        </is>
      </c>
      <c r="L60" s="16">
        <f>IF(COUNTIF(M60:M60,"Fail")&gt;0,"Fail",IF(COUNTIF(M60:M60,"Blocked")&gt;0,"Blocked",IF(COUNTIF(M60:M60,"NI")&gt;0,"NI",IF(COUNTIF(M60:M60,"Pass")&gt;0,"Pass",""))))</f>
        <v/>
      </c>
      <c r="M60" s="17" t="n"/>
      <c r="N60" s="18" t="n"/>
      <c r="O60" s="18" t="n"/>
      <c r="P60" s="19" t="n"/>
      <c r="Q60" s="10" t="inlineStr">
        <is>
          <t>TC-DSC-009</t>
        </is>
      </c>
      <c r="R60" s="10" t="inlineStr">
        <is>
          <t>결정적</t>
        </is>
      </c>
      <c r="S60" s="10" t="inlineStr">
        <is>
          <t>미로그인</t>
        </is>
      </c>
    </row>
    <row r="61" ht="30" customHeight="1">
      <c r="B61" s="10">
        <f>ROW()-9</f>
        <v/>
      </c>
      <c r="C61" s="33" t="inlineStr">
        <is>
          <t>전역 셸</t>
        </is>
      </c>
      <c r="D61" s="47" t="inlineStr">
        <is>
          <t>로그인 모달</t>
        </is>
      </c>
      <c r="E61" s="48" t="inlineStr">
        <is>
          <t>막힌 동작 이어받기</t>
        </is>
      </c>
      <c r="F61" s="14" t="inlineStr">
        <is>
          <t>미로그인 상태에서 채팅 탭이 막혀 로그인 모달이 뜬 상태</t>
        </is>
      </c>
      <c r="G61" s="15" t="n">
        <v>1</v>
      </c>
      <c r="H61" s="14" t="inlineStr">
        <is>
          <t>로그인 모달에서 계정 A 선택한다</t>
        </is>
      </c>
      <c r="I61" s="14" t="inlineStr">
        <is>
          <t>로그인 모달 닫힌다</t>
        </is>
      </c>
      <c r="J61" s="10" t="inlineStr">
        <is>
          <t>공통</t>
        </is>
      </c>
      <c r="K61" s="10" t="inlineStr">
        <is>
          <t>High</t>
        </is>
      </c>
      <c r="L61" s="16">
        <f>IF(COUNTIF(M61:M61,"Fail")&gt;0,"Fail",IF(COUNTIF(M61:M61,"Blocked")&gt;0,"Blocked",IF(COUNTIF(M61:M61,"NI")&gt;0,"NI",IF(COUNTIF(M61:M61,"Pass")&gt;0,"Pass",""))))</f>
        <v/>
      </c>
      <c r="M61" s="17" t="n"/>
      <c r="N61" s="18" t="n"/>
      <c r="O61" s="18" t="n"/>
      <c r="P61" s="14" t="inlineStr">
        <is>
          <t>막을 때는 아무것도 수행하지 않고 풀리면 그때 수행한다는 규칙의 짝입니다(system-spec §1-1)</t>
        </is>
      </c>
      <c r="Q61" s="10" t="inlineStr">
        <is>
          <t>TC-ENT-006</t>
        </is>
      </c>
      <c r="R61" s="10" t="inlineStr">
        <is>
          <t>결정적</t>
        </is>
      </c>
      <c r="S61" s="10" t="inlineStr">
        <is>
          <t>미로그인, 성인 인증</t>
        </is>
      </c>
    </row>
    <row r="62" ht="30" customHeight="1">
      <c r="B62" s="10">
        <f>ROW()-9</f>
        <v/>
      </c>
      <c r="C62" s="33" t="inlineStr">
        <is>
          <t>전역 셸</t>
        </is>
      </c>
      <c r="D62" s="47" t="inlineStr">
        <is>
          <t>로그인 모달</t>
        </is>
      </c>
      <c r="E62" s="48" t="inlineStr">
        <is>
          <t>막힌 동작 이어받기</t>
        </is>
      </c>
      <c r="F62" s="19" t="n"/>
      <c r="G62" s="19" t="n"/>
      <c r="H62" s="19" t="n"/>
      <c r="I62" s="14" t="inlineStr">
        <is>
          <t>막혔던 채팅 탭 열린다</t>
        </is>
      </c>
      <c r="J62" s="10" t="inlineStr">
        <is>
          <t>공통</t>
        </is>
      </c>
      <c r="K62" s="10" t="inlineStr">
        <is>
          <t>High</t>
        </is>
      </c>
      <c r="L62" s="16">
        <f>IF(COUNTIF(M62:M62,"Fail")&gt;0,"Fail",IF(COUNTIF(M62:M62,"Blocked")&gt;0,"Blocked",IF(COUNTIF(M62:M62,"NI")&gt;0,"NI",IF(COUNTIF(M62:M62,"Pass")&gt;0,"Pass",""))))</f>
        <v/>
      </c>
      <c r="M62" s="17" t="n"/>
      <c r="N62" s="18" t="n"/>
      <c r="O62" s="18" t="n"/>
      <c r="P62" s="19" t="n"/>
      <c r="Q62" s="10" t="inlineStr">
        <is>
          <t>TC-ENT-006</t>
        </is>
      </c>
      <c r="R62" s="10" t="inlineStr">
        <is>
          <t>결정적</t>
        </is>
      </c>
      <c r="S62" s="10" t="inlineStr">
        <is>
          <t>미로그인, 성인 인증</t>
        </is>
      </c>
    </row>
    <row r="63" ht="30" customHeight="1">
      <c r="B63" s="10">
        <f>ROW()-9</f>
        <v/>
      </c>
      <c r="C63" s="33" t="inlineStr">
        <is>
          <t>전역 셸</t>
        </is>
      </c>
      <c r="D63" s="47" t="inlineStr">
        <is>
          <t>로그인 모달</t>
        </is>
      </c>
      <c r="E63" s="49" t="inlineStr">
        <is>
          <t>로그인 모달 닫기</t>
        </is>
      </c>
      <c r="F63" s="14" t="inlineStr">
        <is>
          <t>미로그인 상태에서 채팅 탭이 막혀 로그인 모달이 뜬 상태</t>
        </is>
      </c>
      <c r="G63" s="15" t="n">
        <v>1</v>
      </c>
      <c r="H63" s="14" t="inlineStr">
        <is>
          <t>로그인 모달 닫기 선택한다</t>
        </is>
      </c>
      <c r="I63" s="14" t="inlineStr">
        <is>
          <t>로그인 모달 닫힌다</t>
        </is>
      </c>
      <c r="J63" s="10" t="inlineStr">
        <is>
          <t>공통</t>
        </is>
      </c>
      <c r="K63" s="10" t="inlineStr">
        <is>
          <t>Medium</t>
        </is>
      </c>
      <c r="L63" s="16">
        <f>IF(COUNTIF(M63:M63,"Fail")&gt;0,"Fail",IF(COUNTIF(M63:M63,"Blocked")&gt;0,"Blocked",IF(COUNTIF(M63:M63,"NI")&gt;0,"NI",IF(COUNTIF(M63:M63,"Pass")&gt;0,"Pass",""))))</f>
        <v/>
      </c>
      <c r="M63" s="17" t="n"/>
      <c r="N63" s="18" t="n"/>
      <c r="O63" s="18" t="n"/>
      <c r="P63" s="14" t="inlineStr">
        <is>
          <t>모달은 뒤 화면을 살려 두므로 닫으면 제자리입니다. 막힌 동작이 몰래 수행되지 않았는지도 함께 봅니다</t>
        </is>
      </c>
      <c r="Q63" s="10" t="inlineStr">
        <is>
          <t>TC-ENT-007</t>
        </is>
      </c>
      <c r="R63" s="10" t="inlineStr">
        <is>
          <t>결정적</t>
        </is>
      </c>
      <c r="S63" s="10" t="inlineStr">
        <is>
          <t>미로그인</t>
        </is>
      </c>
    </row>
    <row r="64" ht="30" customHeight="1">
      <c r="B64" s="10">
        <f>ROW()-9</f>
        <v/>
      </c>
      <c r="C64" s="33" t="inlineStr">
        <is>
          <t>전역 셸</t>
        </is>
      </c>
      <c r="D64" s="47" t="inlineStr">
        <is>
          <t>로그인 모달</t>
        </is>
      </c>
      <c r="E64" s="49" t="inlineStr">
        <is>
          <t>로그인 모달 닫기</t>
        </is>
      </c>
      <c r="F64" s="50" t="n"/>
      <c r="G64" s="50" t="n"/>
      <c r="H64" s="50" t="n"/>
      <c r="I64" s="14" t="inlineStr">
        <is>
          <t>모달이 뜨기 전 보던 화면 유지된다</t>
        </is>
      </c>
      <c r="J64" s="10" t="inlineStr">
        <is>
          <t>공통</t>
        </is>
      </c>
      <c r="K64" s="10" t="inlineStr">
        <is>
          <t>Medium</t>
        </is>
      </c>
      <c r="L64" s="16">
        <f>IF(COUNTIF(M64:M64,"Fail")&gt;0,"Fail",IF(COUNTIF(M64:M64,"Blocked")&gt;0,"Blocked",IF(COUNTIF(M64:M64,"NI")&gt;0,"NI",IF(COUNTIF(M64:M64,"Pass")&gt;0,"Pass",""))))</f>
        <v/>
      </c>
      <c r="M64" s="17" t="n"/>
      <c r="N64" s="18" t="n"/>
      <c r="O64" s="18" t="n"/>
      <c r="P64" s="50" t="n"/>
      <c r="Q64" s="10" t="inlineStr">
        <is>
          <t>TC-ENT-007</t>
        </is>
      </c>
      <c r="R64" s="10" t="inlineStr">
        <is>
          <t>결정적</t>
        </is>
      </c>
      <c r="S64" s="10" t="inlineStr">
        <is>
          <t>미로그인</t>
        </is>
      </c>
    </row>
    <row r="65" ht="30" customHeight="1">
      <c r="B65" s="10">
        <f>ROW()-9</f>
        <v/>
      </c>
      <c r="C65" s="33" t="inlineStr">
        <is>
          <t>전역 셸</t>
        </is>
      </c>
      <c r="D65" s="47" t="inlineStr">
        <is>
          <t>로그인 모달</t>
        </is>
      </c>
      <c r="E65" s="49" t="inlineStr">
        <is>
          <t>로그인 모달 닫기</t>
        </is>
      </c>
      <c r="F65" s="19" t="n"/>
      <c r="G65" s="19" t="n"/>
      <c r="H65" s="19" t="n"/>
      <c r="I65" s="14" t="inlineStr">
        <is>
          <t>채팅 탭 열리지 않는다</t>
        </is>
      </c>
      <c r="J65" s="10" t="inlineStr">
        <is>
          <t>공통</t>
        </is>
      </c>
      <c r="K65" s="10" t="inlineStr">
        <is>
          <t>Medium</t>
        </is>
      </c>
      <c r="L65" s="16">
        <f>IF(COUNTIF(M65:M65,"Fail")&gt;0,"Fail",IF(COUNTIF(M65:M65,"Blocked")&gt;0,"Blocked",IF(COUNTIF(M65:M65,"NI")&gt;0,"NI",IF(COUNTIF(M65:M65,"Pass")&gt;0,"Pass",""))))</f>
        <v/>
      </c>
      <c r="M65" s="17" t="n"/>
      <c r="N65" s="18" t="n"/>
      <c r="O65" s="18" t="n"/>
      <c r="P65" s="19" t="n"/>
      <c r="Q65" s="10" t="inlineStr">
        <is>
          <t>TC-ENT-007</t>
        </is>
      </c>
      <c r="R65" s="10" t="inlineStr">
        <is>
          <t>결정적</t>
        </is>
      </c>
      <c r="S65" s="10" t="inlineStr">
        <is>
          <t>미로그인</t>
        </is>
      </c>
    </row>
    <row r="66" ht="30" customHeight="1">
      <c r="B66" s="10">
        <f>ROW()-9</f>
        <v/>
      </c>
      <c r="C66" s="33" t="inlineStr">
        <is>
          <t>전역 셸</t>
        </is>
      </c>
      <c r="D66" s="51" t="inlineStr">
        <is>
          <t>푸터</t>
        </is>
      </c>
      <c r="E66" s="52" t="inlineStr">
        <is>
          <t>푸터 구성과 빌드 표기</t>
        </is>
      </c>
      <c r="F66" s="14" t="inlineStr">
        <is>
          <t>계정 A로 로그인한 상태</t>
        </is>
      </c>
      <c r="G66" s="15" t="n">
        <v>1</v>
      </c>
      <c r="H66" s="14" t="inlineStr">
        <is>
          <t>푸터를 확인한다</t>
        </is>
      </c>
      <c r="I66" s="14" t="inlineStr">
        <is>
          <t>포트폴리오 디스클레이머가 노출된다</t>
        </is>
      </c>
      <c r="J66" s="10" t="inlineStr">
        <is>
          <t>공통</t>
        </is>
      </c>
      <c r="K66" s="10" t="inlineStr">
        <is>
          <t>Low</t>
        </is>
      </c>
      <c r="L66" s="16">
        <f>IF(COUNTIF(M66:M66,"Fail")&gt;0,"Fail",IF(COUNTIF(M66:M66,"Blocked")&gt;0,"Blocked",IF(COUNTIF(M66:M66,"NI")&gt;0,"NI",IF(COUNTIF(M66:M66,"Pass")&gt;0,"Pass",""))))</f>
        <v/>
      </c>
      <c r="M66" s="17" t="n"/>
      <c r="N66" s="18" t="n"/>
      <c r="O66" s="18" t="n"/>
      <c r="P66" s="14" t="inlineStr">
        <is>
          <t>트리 노드가 아니라 청사진이 기대값의 출처인 SUT 검증 케이스입니다 — 기획 기능이 아니라 산출물의 자기 설명이며, 빌드 버전은 이슈의 영향 받는 버전 칸이 가리키는 값이라 화면에서 읽혀야 합니다</t>
        </is>
      </c>
      <c r="Q66" s="10" t="inlineStr">
        <is>
          <t>TC-ENT-010</t>
        </is>
      </c>
      <c r="R66" s="10" t="inlineStr">
        <is>
          <t>결정적</t>
        </is>
      </c>
      <c r="S66" s="10" t="inlineStr">
        <is>
          <t>성인 인증</t>
        </is>
      </c>
    </row>
    <row r="67" ht="30" customHeight="1">
      <c r="B67" s="10">
        <f>ROW()-9</f>
        <v/>
      </c>
      <c r="C67" s="33" t="inlineStr">
        <is>
          <t>전역 셸</t>
        </is>
      </c>
      <c r="D67" s="51" t="inlineStr">
        <is>
          <t>푸터</t>
        </is>
      </c>
      <c r="E67" s="52" t="inlineStr">
        <is>
          <t>푸터 구성과 빌드 표기</t>
        </is>
      </c>
      <c r="F67" s="19" t="n"/>
      <c r="G67" s="19" t="n"/>
      <c r="H67" s="19" t="n"/>
      <c r="I67" s="14" t="inlineStr">
        <is>
          <t>빌드 버전이 노출된다</t>
        </is>
      </c>
      <c r="J67" s="10" t="inlineStr">
        <is>
          <t>공통</t>
        </is>
      </c>
      <c r="K67" s="10" t="inlineStr">
        <is>
          <t>Low</t>
        </is>
      </c>
      <c r="L67" s="16">
        <f>IF(COUNTIF(M67:M67,"Fail")&gt;0,"Fail",IF(COUNTIF(M67:M67,"Blocked")&gt;0,"Blocked",IF(COUNTIF(M67:M67,"NI")&gt;0,"NI",IF(COUNTIF(M67:M67,"Pass")&gt;0,"Pass",""))))</f>
        <v/>
      </c>
      <c r="M67" s="17" t="n"/>
      <c r="N67" s="18" t="n"/>
      <c r="O67" s="18" t="n"/>
      <c r="P67" s="19" t="n"/>
      <c r="Q67" s="10" t="inlineStr">
        <is>
          <t>TC-ENT-010</t>
        </is>
      </c>
      <c r="R67" s="10" t="inlineStr">
        <is>
          <t>결정적</t>
        </is>
      </c>
      <c r="S67" s="10" t="inlineStr">
        <is>
          <t>성인 인증</t>
        </is>
      </c>
    </row>
    <row r="68" ht="30" customHeight="1">
      <c r="B68" s="10">
        <f>ROW()-9</f>
        <v/>
      </c>
      <c r="C68" s="33" t="inlineStr">
        <is>
          <t>전역 셸</t>
        </is>
      </c>
      <c r="D68" s="51" t="inlineStr">
        <is>
          <t>푸터</t>
        </is>
      </c>
      <c r="E68" s="52" t="inlineStr">
        <is>
          <t>푸터 구성과 빌드 표기</t>
        </is>
      </c>
      <c r="F68" s="14" t="inlineStr"/>
      <c r="G68" s="15" t="n">
        <v>2</v>
      </c>
      <c r="H68" s="14" t="inlineStr">
        <is>
          <t>트리 링크를 선택한다</t>
        </is>
      </c>
      <c r="I68" s="14" t="inlineStr">
        <is>
          <t>기능 트리 문서로 이동된다</t>
        </is>
      </c>
      <c r="J68" s="10" t="inlineStr">
        <is>
          <t>공통</t>
        </is>
      </c>
      <c r="K68" s="10" t="inlineStr">
        <is>
          <t>Low</t>
        </is>
      </c>
      <c r="L68" s="16">
        <f>IF(COUNTIF(M68:M68,"Fail")&gt;0,"Fail",IF(COUNTIF(M68:M68,"Blocked")&gt;0,"Blocked",IF(COUNTIF(M68:M68,"NI")&gt;0,"NI",IF(COUNTIF(M68:M68,"Pass")&gt;0,"Pass",""))))</f>
        <v/>
      </c>
      <c r="M68" s="17" t="n"/>
      <c r="N68" s="18" t="n"/>
      <c r="O68" s="18" t="n"/>
      <c r="P68" s="14" t="n"/>
      <c r="Q68" s="10" t="inlineStr">
        <is>
          <t>TC-ENT-010</t>
        </is>
      </c>
      <c r="R68" s="10" t="inlineStr">
        <is>
          <t>결정적</t>
        </is>
      </c>
      <c r="S68" s="10" t="inlineStr">
        <is>
          <t>성인 인증</t>
        </is>
      </c>
    </row>
    <row r="69" ht="30" customHeight="1">
      <c r="B69" s="10">
        <f>ROW()-9</f>
        <v/>
      </c>
      <c r="C69" s="53" t="inlineStr">
        <is>
          <t>홈 화면</t>
        </is>
      </c>
      <c r="D69" s="54" t="inlineStr">
        <is>
          <t>필터 칩</t>
        </is>
      </c>
      <c r="E69" s="55" t="inlineStr">
        <is>
          <t>칩 구성과 기본 선택</t>
        </is>
      </c>
      <c r="F69" s="14" t="inlineStr">
        <is>
          <t>계정 A로 로그인한 상태</t>
        </is>
      </c>
      <c r="G69" s="15" t="n">
        <v>1</v>
      </c>
      <c r="H69" s="14" t="inlineStr">
        <is>
          <t>홈 화면 칩 줄 확인한다</t>
        </is>
      </c>
      <c r="I69" s="14" t="inlineStr">
        <is>
          <t>추천·랭킹·신작 칩 노출된다</t>
        </is>
      </c>
      <c r="J69" s="10" t="inlineStr">
        <is>
          <t>공통</t>
        </is>
      </c>
      <c r="K69" s="10" t="inlineStr">
        <is>
          <t>Medium</t>
        </is>
      </c>
      <c r="L69" s="16">
        <f>IF(COUNTIF(M69:M69,"Fail")&gt;0,"Fail",IF(COUNTIF(M69:M69,"Blocked")&gt;0,"Blocked",IF(COUNTIF(M69:M69,"NI")&gt;0,"NI",IF(COUNTIF(M69:M69,"Pass")&gt;0,"Pass",""))))</f>
        <v/>
      </c>
      <c r="M69" s="17" t="n"/>
      <c r="N69" s="18" t="n"/>
      <c r="O69" s="18" t="n"/>
      <c r="P69" s="14" t="inlineStr">
        <is>
          <t>칩 구성의 정본은 system-spec §8-6입니다. 카테고리는 3종 고정이며 작품 카테고리 배열의 첫 항목이 대표입니다</t>
        </is>
      </c>
      <c r="Q69" s="10" t="inlineStr">
        <is>
          <t>TC-DSC-010</t>
        </is>
      </c>
      <c r="R69" s="10" t="inlineStr">
        <is>
          <t>결정적</t>
        </is>
      </c>
      <c r="S69" s="10" t="inlineStr">
        <is>
          <t>성인 인증</t>
        </is>
      </c>
    </row>
    <row r="70" ht="30" customHeight="1">
      <c r="B70" s="10">
        <f>ROW()-9</f>
        <v/>
      </c>
      <c r="C70" s="53" t="inlineStr">
        <is>
          <t>홈 화면</t>
        </is>
      </c>
      <c r="D70" s="54" t="inlineStr">
        <is>
          <t>필터 칩</t>
        </is>
      </c>
      <c r="E70" s="55" t="inlineStr">
        <is>
          <t>칩 구성과 기본 선택</t>
        </is>
      </c>
      <c r="F70" s="50" t="n"/>
      <c r="G70" s="50" t="n"/>
      <c r="H70" s="50" t="n"/>
      <c r="I70" s="14" t="inlineStr">
        <is>
          <t>카테고리 칩 세 개(로맨스·판타지·일상) 노출된다</t>
        </is>
      </c>
      <c r="J70" s="10" t="inlineStr">
        <is>
          <t>공통</t>
        </is>
      </c>
      <c r="K70" s="10" t="inlineStr">
        <is>
          <t>Medium</t>
        </is>
      </c>
      <c r="L70" s="16">
        <f>IF(COUNTIF(M70:M70,"Fail")&gt;0,"Fail",IF(COUNTIF(M70:M70,"Blocked")&gt;0,"Blocked",IF(COUNTIF(M70:M70,"NI")&gt;0,"NI",IF(COUNTIF(M70:M70,"Pass")&gt;0,"Pass",""))))</f>
        <v/>
      </c>
      <c r="M70" s="17" t="n"/>
      <c r="N70" s="18" t="n"/>
      <c r="O70" s="18" t="n"/>
      <c r="P70" s="50" t="n"/>
      <c r="Q70" s="10" t="inlineStr">
        <is>
          <t>TC-DSC-010</t>
        </is>
      </c>
      <c r="R70" s="10" t="inlineStr">
        <is>
          <t>결정적</t>
        </is>
      </c>
      <c r="S70" s="10" t="inlineStr">
        <is>
          <t>성인 인증</t>
        </is>
      </c>
    </row>
    <row r="71" ht="30" customHeight="1">
      <c r="B71" s="10">
        <f>ROW()-9</f>
        <v/>
      </c>
      <c r="C71" s="53" t="inlineStr">
        <is>
          <t>홈 화면</t>
        </is>
      </c>
      <c r="D71" s="54" t="inlineStr">
        <is>
          <t>필터 칩</t>
        </is>
      </c>
      <c r="E71" s="55" t="inlineStr">
        <is>
          <t>칩 구성과 기본 선택</t>
        </is>
      </c>
      <c r="F71" s="19" t="n"/>
      <c r="G71" s="19" t="n"/>
      <c r="H71" s="19" t="n"/>
      <c r="I71" s="14" t="inlineStr">
        <is>
          <t>추천 칩이 활성 상태로 노출된다</t>
        </is>
      </c>
      <c r="J71" s="10" t="inlineStr">
        <is>
          <t>공통</t>
        </is>
      </c>
      <c r="K71" s="10" t="inlineStr">
        <is>
          <t>Medium</t>
        </is>
      </c>
      <c r="L71" s="16">
        <f>IF(COUNTIF(M71:M71,"Fail")&gt;0,"Fail",IF(COUNTIF(M71:M71,"Blocked")&gt;0,"Blocked",IF(COUNTIF(M71:M71,"NI")&gt;0,"NI",IF(COUNTIF(M71:M71,"Pass")&gt;0,"Pass",""))))</f>
        <v/>
      </c>
      <c r="M71" s="17" t="n"/>
      <c r="N71" s="18" t="n"/>
      <c r="O71" s="18" t="n"/>
      <c r="P71" s="19" t="n"/>
      <c r="Q71" s="10" t="inlineStr">
        <is>
          <t>TC-DSC-010</t>
        </is>
      </c>
      <c r="R71" s="10" t="inlineStr">
        <is>
          <t>결정적</t>
        </is>
      </c>
      <c r="S71" s="10" t="inlineStr">
        <is>
          <t>성인 인증</t>
        </is>
      </c>
    </row>
    <row r="72" ht="30" customHeight="1">
      <c r="B72" s="10">
        <f>ROW()-9</f>
        <v/>
      </c>
      <c r="C72" s="53" t="inlineStr">
        <is>
          <t>홈 화면</t>
        </is>
      </c>
      <c r="D72" s="56" t="inlineStr">
        <is>
          <t>추천 탭</t>
        </is>
      </c>
      <c r="E72" s="57" t="inlineStr">
        <is>
          <t>추천 캐러셀 상한 7</t>
        </is>
      </c>
      <c r="F72" s="14" t="inlineStr">
        <is>
          <t>계정 A로 로그인하고 데이터 시트에 캐릭터를 8개 이상 둔 상태</t>
        </is>
      </c>
      <c r="G72" s="15" t="n">
        <v>1</v>
      </c>
      <c r="H72" s="14" t="inlineStr">
        <is>
          <t>추천 칩 선택한다</t>
        </is>
      </c>
      <c r="I72" s="14" t="inlineStr">
        <is>
          <t>추천 탭 노출된다</t>
        </is>
      </c>
      <c r="J72" s="10" t="inlineStr">
        <is>
          <t>공통</t>
        </is>
      </c>
      <c r="K72" s="10" t="inlineStr">
        <is>
          <t>Medium</t>
        </is>
      </c>
      <c r="L72" s="16">
        <f>IF(COUNTIF(M72:M72,"Fail")&gt;0,"Fail",IF(COUNTIF(M72:M72,"Blocked")&gt;0,"Blocked",IF(COUNTIF(M72:M72,"NI")&gt;0,"NI",IF(COUNTIF(M72:M72,"Pass")&gt;0,"Pass",""))))</f>
        <v/>
      </c>
      <c r="M72" s="17" t="n"/>
      <c r="N72" s="18" t="n"/>
      <c r="O72" s="18" t="n"/>
      <c r="P72" s="14" t="inlineStr">
        <is>
          <t>캐릭터는 디버그 콘솔의 캐릭터 생성 버튼으로 늘립니다. 동률은 §8-4 체인(이용수→좋아요→ID)이 가릅니다</t>
        </is>
      </c>
      <c r="Q72" s="10" t="inlineStr">
        <is>
          <t>TC-DSC-011</t>
        </is>
      </c>
      <c r="R72" s="10" t="inlineStr">
        <is>
          <t>결정적</t>
        </is>
      </c>
      <c r="S72" s="10" t="inlineStr">
        <is>
          <t>성인 인증</t>
        </is>
      </c>
    </row>
    <row r="73" ht="30" customHeight="1">
      <c r="B73" s="10">
        <f>ROW()-9</f>
        <v/>
      </c>
      <c r="C73" s="53" t="inlineStr">
        <is>
          <t>홈 화면</t>
        </is>
      </c>
      <c r="D73" s="56" t="inlineStr">
        <is>
          <t>추천 탭</t>
        </is>
      </c>
      <c r="E73" s="57" t="inlineStr">
        <is>
          <t>추천 캐러셀 상한 7</t>
        </is>
      </c>
      <c r="F73" s="14" t="inlineStr"/>
      <c r="G73" s="15" t="n">
        <v>2</v>
      </c>
      <c r="H73" s="14" t="inlineStr">
        <is>
          <t>추천 캐러셀 확인한다</t>
        </is>
      </c>
      <c r="I73" s="14" t="inlineStr">
        <is>
          <t>캐러셀 카드가 7개까지만 노출된다</t>
        </is>
      </c>
      <c r="J73" s="10" t="inlineStr">
        <is>
          <t>공통</t>
        </is>
      </c>
      <c r="K73" s="10" t="inlineStr">
        <is>
          <t>Medium</t>
        </is>
      </c>
      <c r="L73" s="16">
        <f>IF(COUNTIF(M73:M73,"Fail")&gt;0,"Fail",IF(COUNTIF(M73:M73,"Blocked")&gt;0,"Blocked",IF(COUNTIF(M73:M73,"NI")&gt;0,"NI",IF(COUNTIF(M73:M73,"Pass")&gt;0,"Pass",""))))</f>
        <v/>
      </c>
      <c r="M73" s="17" t="n"/>
      <c r="N73" s="18" t="n"/>
      <c r="O73" s="18" t="n"/>
      <c r="P73" s="14" t="n"/>
      <c r="Q73" s="10" t="inlineStr">
        <is>
          <t>TC-DSC-011</t>
        </is>
      </c>
      <c r="R73" s="10" t="inlineStr">
        <is>
          <t>결정적</t>
        </is>
      </c>
      <c r="S73" s="10" t="inlineStr">
        <is>
          <t>성인 인증</t>
        </is>
      </c>
    </row>
    <row r="74" ht="30" customHeight="1">
      <c r="B74" s="10">
        <f>ROW()-9</f>
        <v/>
      </c>
      <c r="C74" s="53" t="inlineStr">
        <is>
          <t>홈 화면</t>
        </is>
      </c>
      <c r="D74" s="56" t="inlineStr">
        <is>
          <t>추천 탭</t>
        </is>
      </c>
      <c r="E74" s="57" t="inlineStr">
        <is>
          <t>추천 캐러셀 상한 7</t>
        </is>
      </c>
      <c r="F74" s="14" t="n"/>
      <c r="G74" s="19" t="n"/>
      <c r="H74" s="19" t="n"/>
      <c r="I74" s="14" t="inlineStr">
        <is>
          <t>월간 이용수 순으로 정렬된다</t>
        </is>
      </c>
      <c r="J74" s="10" t="inlineStr">
        <is>
          <t>공통</t>
        </is>
      </c>
      <c r="K74" s="10" t="inlineStr">
        <is>
          <t>Medium</t>
        </is>
      </c>
      <c r="L74" s="16">
        <f>IF(COUNTIF(M74:M74,"Fail")&gt;0,"Fail",IF(COUNTIF(M74:M74,"Blocked")&gt;0,"Blocked",IF(COUNTIF(M74:M74,"NI")&gt;0,"NI",IF(COUNTIF(M74:M74,"Pass")&gt;0,"Pass",""))))</f>
        <v/>
      </c>
      <c r="M74" s="17" t="n"/>
      <c r="N74" s="18" t="n"/>
      <c r="O74" s="18" t="n"/>
      <c r="P74" s="19" t="n"/>
      <c r="Q74" s="10" t="inlineStr">
        <is>
          <t>TC-DSC-011</t>
        </is>
      </c>
      <c r="R74" s="10" t="inlineStr">
        <is>
          <t>결정적</t>
        </is>
      </c>
      <c r="S74" s="10" t="inlineStr">
        <is>
          <t>성인 인증</t>
        </is>
      </c>
    </row>
    <row r="75" ht="30" customHeight="1">
      <c r="B75" s="10">
        <f>ROW()-9</f>
        <v/>
      </c>
      <c r="C75" s="53" t="inlineStr">
        <is>
          <t>홈 화면</t>
        </is>
      </c>
      <c r="D75" s="56" t="inlineStr">
        <is>
          <t>추천 탭</t>
        </is>
      </c>
      <c r="E75" s="58" t="inlineStr">
        <is>
          <t>최근 대화 섹션 조건부 노출</t>
        </is>
      </c>
      <c r="F75" s="14" t="inlineStr">
        <is>
          <t>계정 A로 로그인하고 대화 이력이 없는 상태</t>
        </is>
      </c>
      <c r="G75" s="15" t="n">
        <v>1</v>
      </c>
      <c r="H75" s="14" t="inlineStr">
        <is>
          <t>추천 탭 확인한다</t>
        </is>
      </c>
      <c r="I75" s="14" t="inlineStr">
        <is>
          <t>최근 대화한 캐릭터 섹션 노출되지 않는다</t>
        </is>
      </c>
      <c r="J75" s="10" t="inlineStr">
        <is>
          <t>공통</t>
        </is>
      </c>
      <c r="K75" s="10" t="inlineStr">
        <is>
          <t>Medium</t>
        </is>
      </c>
      <c r="L75" s="16">
        <f>IF(COUNTIF(M75:M75,"Fail")&gt;0,"Fail",IF(COUNTIF(M75:M75,"Blocked")&gt;0,"Blocked",IF(COUNTIF(M75:M75,"NI")&gt;0,"NI",IF(COUNTIF(M75:M75,"Pass")&gt;0,"Pass",""))))</f>
        <v/>
      </c>
      <c r="M75" s="17" t="n"/>
      <c r="N75" s="18" t="n"/>
      <c r="O75" s="18" t="n"/>
      <c r="P75" s="14" t="inlineStr">
        <is>
          <t>이력이 생긴 뒤의 노출은 대화방 영역에서 봅니다. 조건부 노출이라 빈 섹션이 남으면 결함입니다</t>
        </is>
      </c>
      <c r="Q75" s="10" t="inlineStr">
        <is>
          <t>TC-DSC-012</t>
        </is>
      </c>
      <c r="R75" s="10" t="inlineStr">
        <is>
          <t>결정적</t>
        </is>
      </c>
      <c r="S75" s="10" t="inlineStr">
        <is>
          <t>성인 인증</t>
        </is>
      </c>
    </row>
    <row r="76" ht="30" customHeight="1">
      <c r="B76" s="10">
        <f>ROW()-9</f>
        <v/>
      </c>
      <c r="C76" s="53" t="inlineStr">
        <is>
          <t>홈 화면</t>
        </is>
      </c>
      <c r="D76" s="56" t="inlineStr">
        <is>
          <t>추천 탭</t>
        </is>
      </c>
      <c r="E76" s="59" t="inlineStr">
        <is>
          <t>떠오르는 신작 선정식</t>
        </is>
      </c>
      <c r="F76" s="14" t="inlineStr">
        <is>
          <t>계정 A로 로그인한 상태</t>
        </is>
      </c>
      <c r="G76" s="15" t="n">
        <v>1</v>
      </c>
      <c r="H76" s="14" t="inlineStr">
        <is>
          <t>떠오르는 신작 섹션 확인한다</t>
        </is>
      </c>
      <c r="I76" s="14" t="inlineStr">
        <is>
          <t>생성 60일 이내이면서 월간 이용수 1건 이상인 작품만 노출된다</t>
        </is>
      </c>
      <c r="J76" s="10" t="inlineStr">
        <is>
          <t>공통</t>
        </is>
      </c>
      <c r="K76" s="10" t="inlineStr">
        <is>
          <t>Medium</t>
        </is>
      </c>
      <c r="L76" s="16">
        <f>IF(COUNTIF(M76:M76,"Fail")&gt;0,"Fail",IF(COUNTIF(M76:M76,"Blocked")&gt;0,"Blocked",IF(COUNTIF(M76:M76,"NI")&gt;0,"NI",IF(COUNTIF(M76:M76,"Pass")&gt;0,"Pass",""))))</f>
        <v/>
      </c>
      <c r="M76" s="17" t="n"/>
      <c r="N76" s="18" t="n"/>
      <c r="O76" s="18" t="n"/>
      <c r="P76" s="14" t="inlineStr">
        <is>
          <t>두 창이 다른 일을 합니다 — 월간이 모수를 거르고 주간이 순서를 만듭니다(§8-5). 출시일·이용수는 디버그 콘솔 표에서 옮겨 경계를 만듭니다</t>
        </is>
      </c>
      <c r="Q76" s="10" t="inlineStr">
        <is>
          <t>TC-DSC-013</t>
        </is>
      </c>
      <c r="R76" s="10" t="inlineStr">
        <is>
          <t>결정적</t>
        </is>
      </c>
      <c r="S76" s="10" t="inlineStr">
        <is>
          <t>성인 인증</t>
        </is>
      </c>
    </row>
    <row r="77" ht="30" customHeight="1">
      <c r="B77" s="10">
        <f>ROW()-9</f>
        <v/>
      </c>
      <c r="C77" s="53" t="inlineStr">
        <is>
          <t>홈 화면</t>
        </is>
      </c>
      <c r="D77" s="56" t="inlineStr">
        <is>
          <t>추천 탭</t>
        </is>
      </c>
      <c r="E77" s="59" t="inlineStr">
        <is>
          <t>떠오르는 신작 선정식</t>
        </is>
      </c>
      <c r="F77" s="19" t="n"/>
      <c r="G77" s="19" t="n"/>
      <c r="H77" s="19" t="n"/>
      <c r="I77" s="14" t="inlineStr">
        <is>
          <t>주간 이용수 상위 5개까지 노출된다</t>
        </is>
      </c>
      <c r="J77" s="10" t="inlineStr">
        <is>
          <t>공통</t>
        </is>
      </c>
      <c r="K77" s="10" t="inlineStr">
        <is>
          <t>Medium</t>
        </is>
      </c>
      <c r="L77" s="16">
        <f>IF(COUNTIF(M77:M77,"Fail")&gt;0,"Fail",IF(COUNTIF(M77:M77,"Blocked")&gt;0,"Blocked",IF(COUNTIF(M77:M77,"NI")&gt;0,"NI",IF(COUNTIF(M77:M77,"Pass")&gt;0,"Pass",""))))</f>
        <v/>
      </c>
      <c r="M77" s="17" t="n"/>
      <c r="N77" s="18" t="n"/>
      <c r="O77" s="18" t="n"/>
      <c r="P77" s="19" t="n"/>
      <c r="Q77" s="10" t="inlineStr">
        <is>
          <t>TC-DSC-013</t>
        </is>
      </c>
      <c r="R77" s="10" t="inlineStr">
        <is>
          <t>결정적</t>
        </is>
      </c>
      <c r="S77" s="10" t="inlineStr">
        <is>
          <t>성인 인증</t>
        </is>
      </c>
    </row>
    <row r="78" ht="30" customHeight="1">
      <c r="B78" s="10">
        <f>ROW()-9</f>
        <v/>
      </c>
      <c r="C78" s="53" t="inlineStr">
        <is>
          <t>홈 화면</t>
        </is>
      </c>
      <c r="D78" s="56" t="inlineStr">
        <is>
          <t>추천 탭</t>
        </is>
      </c>
      <c r="E78" s="60" t="inlineStr">
        <is>
          <t>떠오르는 신작 창 경계</t>
        </is>
      </c>
      <c r="F78" s="14" t="inlineStr">
        <is>
          <t>계정 A로 로그인하고 디버그 콘솔에서 한 작품의 출시일을 기준일 61일 전으로 옮긴 상태</t>
        </is>
      </c>
      <c r="G78" s="15" t="n">
        <v>1</v>
      </c>
      <c r="H78" s="14" t="inlineStr">
        <is>
          <t>떠오르는 신작 섹션 확인한다</t>
        </is>
      </c>
      <c r="I78" s="14" t="inlineStr">
        <is>
          <t>그 작품이 섹션에서 빠진다</t>
        </is>
      </c>
      <c r="J78" s="10" t="inlineStr">
        <is>
          <t>공통</t>
        </is>
      </c>
      <c r="K78" s="10" t="inlineStr">
        <is>
          <t>Medium</t>
        </is>
      </c>
      <c r="L78" s="16">
        <f>IF(COUNTIF(M78:M78,"Fail")&gt;0,"Fail",IF(COUNTIF(M78:M78,"Blocked")&gt;0,"Blocked",IF(COUNTIF(M78:M78,"NI")&gt;0,"NI",IF(COUNTIF(M78:M78,"Pass")&gt;0,"Pass",""))))</f>
        <v/>
      </c>
      <c r="M78" s="17" t="n"/>
      <c r="N78" s="18" t="n"/>
      <c r="O78" s="18" t="n"/>
      <c r="P78" s="14" t="inlineStr">
        <is>
          <t>60일이 경계라 61일은 밖입니다. 출시일 칸을 고치고 저장한 뒤 현재 화면 새로고침으로 반영합니다</t>
        </is>
      </c>
      <c r="Q78" s="10" t="inlineStr">
        <is>
          <t>TC-DSC-014</t>
        </is>
      </c>
      <c r="R78" s="10" t="inlineStr">
        <is>
          <t>결정적</t>
        </is>
      </c>
      <c r="S78" s="10" t="inlineStr">
        <is>
          <t>성인 인증</t>
        </is>
      </c>
    </row>
    <row r="79" ht="30" customHeight="1">
      <c r="B79" s="10">
        <f>ROW()-9</f>
        <v/>
      </c>
      <c r="C79" s="53" t="inlineStr">
        <is>
          <t>홈 화면</t>
        </is>
      </c>
      <c r="D79" s="56" t="inlineStr">
        <is>
          <t>추천 탭</t>
        </is>
      </c>
      <c r="E79" s="61" t="inlineStr">
        <is>
          <t>지금 뜨거운 선정식</t>
        </is>
      </c>
      <c r="F79" s="14" t="inlineStr">
        <is>
          <t>계정 A로 로그인한 상태</t>
        </is>
      </c>
      <c r="G79" s="15" t="n">
        <v>1</v>
      </c>
      <c r="H79" s="14" t="inlineStr">
        <is>
          <t>지금 뜨거운 섹션 확인한다</t>
        </is>
      </c>
      <c r="I79" s="14" t="inlineStr">
        <is>
          <t>주간 이용수 1건 이상인 작품만 노출된다</t>
        </is>
      </c>
      <c r="J79" s="10" t="inlineStr">
        <is>
          <t>공통</t>
        </is>
      </c>
      <c r="K79" s="10" t="inlineStr">
        <is>
          <t>Medium</t>
        </is>
      </c>
      <c r="L79" s="16">
        <f>IF(COUNTIF(M79:M79,"Fail")&gt;0,"Fail",IF(COUNTIF(M79:M79,"Blocked")&gt;0,"Blocked",IF(COUNTIF(M79:M79,"NI")&gt;0,"NI",IF(COUNTIF(M79:M79,"Pass")&gt;0,"Pass",""))))</f>
        <v/>
      </c>
      <c r="M79" s="17" t="n"/>
      <c r="N79" s="18" t="n"/>
      <c r="O79" s="18" t="n"/>
      <c r="P79" s="14" t="inlineStr">
        <is>
          <t>떠오르는 신작과 달리 생성일 조건이 없습니다. 이용수 0건이 상위에 오르면 섹션의 뜻과 어긋나 선정식을 화면으로 검증할 수 없게 됩니다</t>
        </is>
      </c>
      <c r="Q79" s="10" t="inlineStr">
        <is>
          <t>TC-DSC-015</t>
        </is>
      </c>
      <c r="R79" s="10" t="inlineStr">
        <is>
          <t>결정적</t>
        </is>
      </c>
      <c r="S79" s="10" t="inlineStr">
        <is>
          <t>성인 인증</t>
        </is>
      </c>
    </row>
    <row r="80" ht="30" customHeight="1">
      <c r="B80" s="10">
        <f>ROW()-9</f>
        <v/>
      </c>
      <c r="C80" s="53" t="inlineStr">
        <is>
          <t>홈 화면</t>
        </is>
      </c>
      <c r="D80" s="56" t="inlineStr">
        <is>
          <t>추천 탭</t>
        </is>
      </c>
      <c r="E80" s="61" t="inlineStr">
        <is>
          <t>지금 뜨거운 선정식</t>
        </is>
      </c>
      <c r="F80" s="19" t="n"/>
      <c r="G80" s="19" t="n"/>
      <c r="H80" s="19" t="n"/>
      <c r="I80" s="14" t="inlineStr">
        <is>
          <t>주간 이용수 상위 5개까지 노출된다</t>
        </is>
      </c>
      <c r="J80" s="10" t="inlineStr">
        <is>
          <t>공통</t>
        </is>
      </c>
      <c r="K80" s="10" t="inlineStr">
        <is>
          <t>Medium</t>
        </is>
      </c>
      <c r="L80" s="16">
        <f>IF(COUNTIF(M80:M80,"Fail")&gt;0,"Fail",IF(COUNTIF(M80:M80,"Blocked")&gt;0,"Blocked",IF(COUNTIF(M80:M80,"NI")&gt;0,"NI",IF(COUNTIF(M80:M80,"Pass")&gt;0,"Pass",""))))</f>
        <v/>
      </c>
      <c r="M80" s="17" t="n"/>
      <c r="N80" s="18" t="n"/>
      <c r="O80" s="18" t="n"/>
      <c r="P80" s="19" t="n"/>
      <c r="Q80" s="10" t="inlineStr">
        <is>
          <t>TC-DSC-015</t>
        </is>
      </c>
      <c r="R80" s="10" t="inlineStr">
        <is>
          <t>결정적</t>
        </is>
      </c>
      <c r="S80" s="10" t="inlineStr">
        <is>
          <t>성인 인증</t>
        </is>
      </c>
    </row>
    <row r="81" ht="30" customHeight="1">
      <c r="B81" s="10">
        <f>ROW()-9</f>
        <v/>
      </c>
      <c r="C81" s="53" t="inlineStr">
        <is>
          <t>홈 화면</t>
        </is>
      </c>
      <c r="D81" s="56" t="inlineStr">
        <is>
          <t>추천 탭</t>
        </is>
      </c>
      <c r="E81" s="62" t="inlineStr">
        <is>
          <t>섹션 모수 0건 안내</t>
        </is>
      </c>
      <c r="F81" s="14" t="inlineStr">
        <is>
          <t>계정 A로 로그인하고 디버그 콘솔에서 모든 작품의 이용수를 0으로 만든 상태</t>
        </is>
      </c>
      <c r="G81" s="15" t="n">
        <v>1</v>
      </c>
      <c r="H81" s="14" t="inlineStr">
        <is>
          <t>떠오르는 신작·지금 뜨거운 섹션 확인한다</t>
        </is>
      </c>
      <c r="I81" s="14" t="inlineStr">
        <is>
          <t>섹션 자리에 0건 안내 노출된다</t>
        </is>
      </c>
      <c r="J81" s="10" t="inlineStr">
        <is>
          <t>공통</t>
        </is>
      </c>
      <c r="K81" s="10" t="inlineStr">
        <is>
          <t>Low</t>
        </is>
      </c>
      <c r="L81" s="16">
        <f>IF(COUNTIF(M81:M81,"Fail")&gt;0,"Fail",IF(COUNTIF(M81:M81,"Blocked")&gt;0,"Blocked",IF(COUNTIF(M81:M81,"NI")&gt;0,"NI",IF(COUNTIF(M81:M81,"Pass")&gt;0,"Pass",""))))</f>
        <v/>
      </c>
      <c r="M81" s="17" t="n"/>
      <c r="N81" s="18" t="n"/>
      <c r="O81" s="18" t="n"/>
      <c r="P81" s="14" t="inlineStr">
        <is>
          <t>이용수 일간·주간·월간을 전부 0으로 두면 두 섹션의 모수가 비웁니다</t>
        </is>
      </c>
      <c r="Q81" s="10" t="inlineStr">
        <is>
          <t>TC-DSC-016</t>
        </is>
      </c>
      <c r="R81" s="10" t="inlineStr">
        <is>
          <t>결정적</t>
        </is>
      </c>
      <c r="S81" s="10" t="inlineStr">
        <is>
          <t>성인 인증</t>
        </is>
      </c>
    </row>
    <row r="82" ht="30" customHeight="1">
      <c r="B82" s="10">
        <f>ROW()-9</f>
        <v/>
      </c>
      <c r="C82" s="53" t="inlineStr">
        <is>
          <t>홈 화면</t>
        </is>
      </c>
      <c r="D82" s="22" t="inlineStr">
        <is>
          <t>랭킹 탭</t>
        </is>
      </c>
      <c r="E82" s="63" t="inlineStr">
        <is>
          <t>진입 기본값</t>
        </is>
      </c>
      <c r="F82" s="14" t="inlineStr">
        <is>
          <t>계정 A로 로그인한 상태</t>
        </is>
      </c>
      <c r="G82" s="15" t="n">
        <v>1</v>
      </c>
      <c r="H82" s="14" t="inlineStr">
        <is>
          <t>랭킹 칩 선택한다</t>
        </is>
      </c>
      <c r="I82" s="14" t="inlineStr">
        <is>
          <t>일간 기간이 선택된 상태로 노출된다</t>
        </is>
      </c>
      <c r="J82" s="10" t="inlineStr">
        <is>
          <t>공통</t>
        </is>
      </c>
      <c r="K82" s="10" t="inlineStr">
        <is>
          <t>Medium</t>
        </is>
      </c>
      <c r="L82" s="16">
        <f>IF(COUNTIF(M82:M82,"Fail")&gt;0,"Fail",IF(COUNTIF(M82:M82,"Blocked")&gt;0,"Blocked",IF(COUNTIF(M82:M82,"NI")&gt;0,"NI",IF(COUNTIF(M82:M82,"Pass")&gt;0,"Pass",""))))</f>
        <v/>
      </c>
      <c r="M82" s="17" t="n"/>
      <c r="N82" s="18" t="n"/>
      <c r="O82" s="18" t="n"/>
      <c r="P82" s="14" t="inlineStr">
        <is>
          <t>기간 버튼 배열(일→주→월)의 첫 값과 같습니다(§8-3)</t>
        </is>
      </c>
      <c r="Q82" s="10" t="inlineStr">
        <is>
          <t>TC-DSC-017</t>
        </is>
      </c>
      <c r="R82" s="10" t="inlineStr">
        <is>
          <t>결정적</t>
        </is>
      </c>
      <c r="S82" s="10" t="inlineStr">
        <is>
          <t>성인 인증</t>
        </is>
      </c>
    </row>
    <row r="83" ht="30" customHeight="1">
      <c r="B83" s="10">
        <f>ROW()-9</f>
        <v/>
      </c>
      <c r="C83" s="53" t="inlineStr">
        <is>
          <t>홈 화면</t>
        </is>
      </c>
      <c r="D83" s="22" t="inlineStr">
        <is>
          <t>랭킹 탭</t>
        </is>
      </c>
      <c r="E83" s="63" t="inlineStr">
        <is>
          <t>진입 기본값</t>
        </is>
      </c>
      <c r="F83" s="19" t="n"/>
      <c r="G83" s="19" t="n"/>
      <c r="H83" s="19" t="n"/>
      <c r="I83" s="14" t="inlineStr">
        <is>
          <t>이용수 순 기준이 선택된 상태로 노출된다</t>
        </is>
      </c>
      <c r="J83" s="10" t="inlineStr">
        <is>
          <t>공통</t>
        </is>
      </c>
      <c r="K83" s="10" t="inlineStr">
        <is>
          <t>Medium</t>
        </is>
      </c>
      <c r="L83" s="16">
        <f>IF(COUNTIF(M83:M83,"Fail")&gt;0,"Fail",IF(COUNTIF(M83:M83,"Blocked")&gt;0,"Blocked",IF(COUNTIF(M83:M83,"NI")&gt;0,"NI",IF(COUNTIF(M83:M83,"Pass")&gt;0,"Pass",""))))</f>
        <v/>
      </c>
      <c r="M83" s="17" t="n"/>
      <c r="N83" s="18" t="n"/>
      <c r="O83" s="18" t="n"/>
      <c r="P83" s="19" t="n"/>
      <c r="Q83" s="10" t="inlineStr">
        <is>
          <t>TC-DSC-017</t>
        </is>
      </c>
      <c r="R83" s="10" t="inlineStr">
        <is>
          <t>결정적</t>
        </is>
      </c>
      <c r="S83" s="10" t="inlineStr">
        <is>
          <t>성인 인증</t>
        </is>
      </c>
    </row>
    <row r="84" ht="30" customHeight="1">
      <c r="B84" s="10">
        <f>ROW()-9</f>
        <v/>
      </c>
      <c r="C84" s="53" t="inlineStr">
        <is>
          <t>홈 화면</t>
        </is>
      </c>
      <c r="D84" s="22" t="inlineStr">
        <is>
          <t>랭킹 탭</t>
        </is>
      </c>
      <c r="E84" s="64" t="inlineStr">
        <is>
          <t>기간 필터 전환</t>
        </is>
      </c>
      <c r="F84" s="14" t="inlineStr">
        <is>
          <t>계정 A로 로그인해 랭킹 탭을 연 상태</t>
        </is>
      </c>
      <c r="G84" s="15" t="n">
        <v>1</v>
      </c>
      <c r="H84" s="14" t="inlineStr">
        <is>
          <t>주간 선택한다</t>
        </is>
      </c>
      <c r="I84" s="14" t="inlineStr">
        <is>
          <t>집계 구간이 최근 7일로 바뀐다</t>
        </is>
      </c>
      <c r="J84" s="10" t="inlineStr">
        <is>
          <t>공통</t>
        </is>
      </c>
      <c r="K84" s="10" t="inlineStr">
        <is>
          <t>High</t>
        </is>
      </c>
      <c r="L84" s="16">
        <f>IF(COUNTIF(M84:M84,"Fail")&gt;0,"Fail",IF(COUNTIF(M84:M84,"Blocked")&gt;0,"Blocked",IF(COUNTIF(M84:M84,"NI")&gt;0,"NI",IF(COUNTIF(M84:M84,"Pass")&gt;0,"Pass",""))))</f>
        <v/>
      </c>
      <c r="M84" s="17" t="n"/>
      <c r="N84" s="18" t="n"/>
      <c r="O84" s="18" t="n"/>
      <c r="P84" s="14" t="inlineStr">
        <is>
          <t>기간은 이용수 기준에만 걸립니다 — 좋아요·리뷰는 누적값이라 기간을 바꿔도 순위가 그대로여야 합니다</t>
        </is>
      </c>
      <c r="Q84" s="10" t="inlineStr">
        <is>
          <t>TC-DSC-018</t>
        </is>
      </c>
      <c r="R84" s="10" t="inlineStr">
        <is>
          <t>결정적</t>
        </is>
      </c>
      <c r="S84" s="10" t="inlineStr">
        <is>
          <t>성인 인증</t>
        </is>
      </c>
    </row>
    <row r="85" ht="30" customHeight="1">
      <c r="B85" s="10">
        <f>ROW()-9</f>
        <v/>
      </c>
      <c r="C85" s="53" t="inlineStr">
        <is>
          <t>홈 화면</t>
        </is>
      </c>
      <c r="D85" s="22" t="inlineStr">
        <is>
          <t>랭킹 탭</t>
        </is>
      </c>
      <c r="E85" s="64" t="inlineStr">
        <is>
          <t>기간 필터 전환</t>
        </is>
      </c>
      <c r="F85" s="14" t="inlineStr"/>
      <c r="G85" s="15" t="n">
        <v>2</v>
      </c>
      <c r="H85" s="14" t="inlineStr">
        <is>
          <t>월간 선택한다</t>
        </is>
      </c>
      <c r="I85" s="14" t="inlineStr">
        <is>
          <t>집계 구간이 최근 30일로 바뀐다</t>
        </is>
      </c>
      <c r="J85" s="10" t="inlineStr">
        <is>
          <t>공통</t>
        </is>
      </c>
      <c r="K85" s="10" t="inlineStr">
        <is>
          <t>High</t>
        </is>
      </c>
      <c r="L85" s="16">
        <f>IF(COUNTIF(M85:M85,"Fail")&gt;0,"Fail",IF(COUNTIF(M85:M85,"Blocked")&gt;0,"Blocked",IF(COUNTIF(M85:M85,"NI")&gt;0,"NI",IF(COUNTIF(M85:M85,"Pass")&gt;0,"Pass",""))))</f>
        <v/>
      </c>
      <c r="M85" s="17" t="n"/>
      <c r="N85" s="18" t="n"/>
      <c r="O85" s="18" t="n"/>
      <c r="P85" s="14" t="n"/>
      <c r="Q85" s="10" t="inlineStr">
        <is>
          <t>TC-DSC-018</t>
        </is>
      </c>
      <c r="R85" s="10" t="inlineStr">
        <is>
          <t>결정적</t>
        </is>
      </c>
      <c r="S85" s="10" t="inlineStr">
        <is>
          <t>성인 인증</t>
        </is>
      </c>
    </row>
    <row r="86" ht="30" customHeight="1">
      <c r="B86" s="10">
        <f>ROW()-9</f>
        <v/>
      </c>
      <c r="C86" s="53" t="inlineStr">
        <is>
          <t>홈 화면</t>
        </is>
      </c>
      <c r="D86" s="22" t="inlineStr">
        <is>
          <t>랭킹 탭</t>
        </is>
      </c>
      <c r="E86" s="65" t="inlineStr">
        <is>
          <t>이용수 중복 제거</t>
        </is>
      </c>
      <c r="F86" s="14" t="inlineStr">
        <is>
          <t>계정 A로 로그인하고 같은 유저·같은 작품·같은 날짜의 이벤트를 여럿 둔 상태</t>
        </is>
      </c>
      <c r="G86" s="15" t="n">
        <v>1</v>
      </c>
      <c r="H86" s="14" t="inlineStr">
        <is>
          <t>일간 랭킹의 이용수 확인한다</t>
        </is>
      </c>
      <c r="I86" s="14" t="inlineStr">
        <is>
          <t>중복 이벤트가 1건으로 집계된다</t>
        </is>
      </c>
      <c r="J86" s="10" t="inlineStr">
        <is>
          <t>공통</t>
        </is>
      </c>
      <c r="K86" s="10" t="inlineStr">
        <is>
          <t>High</t>
        </is>
      </c>
      <c r="L86" s="16">
        <f>IF(COUNTIF(M86:M86,"Fail")&gt;0,"Fail",IF(COUNTIF(M86:M86,"Blocked")&gt;0,"Blocked",IF(COUNTIF(M86:M86,"NI")&gt;0,"NI",IF(COUNTIF(M86:M86,"Pass")&gt;0,"Pass",""))))</f>
        <v/>
      </c>
      <c r="M86" s="17" t="n"/>
      <c r="N86" s="18" t="n"/>
      <c r="O86" s="18" t="n"/>
      <c r="P86" s="14" t="inlineStr">
        <is>
          <t>이벤트는 유저×작품×날짜 조합으로 셉니다(§8-2). 디버그 콘솔의 원본 편집에서 이벤트를 직접 넣습니다</t>
        </is>
      </c>
      <c r="Q86" s="10" t="inlineStr">
        <is>
          <t>TC-DSC-019</t>
        </is>
      </c>
      <c r="R86" s="10" t="inlineStr">
        <is>
          <t>결정적</t>
        </is>
      </c>
      <c r="S86" s="10" t="inlineStr">
        <is>
          <t>성인 인증</t>
        </is>
      </c>
    </row>
    <row r="87" ht="30" customHeight="1">
      <c r="B87" s="10">
        <f>ROW()-9</f>
        <v/>
      </c>
      <c r="C87" s="53" t="inlineStr">
        <is>
          <t>홈 화면</t>
        </is>
      </c>
      <c r="D87" s="22" t="inlineStr">
        <is>
          <t>랭킹 탭</t>
        </is>
      </c>
      <c r="E87" s="64" t="inlineStr">
        <is>
          <t>미래 이벤트 집계 제외</t>
        </is>
      </c>
      <c r="F87" s="14" t="inlineStr">
        <is>
          <t>계정 A로 로그인하고 기준일보다 나중 날짜의 이벤트를 둔 상태</t>
        </is>
      </c>
      <c r="G87" s="15" t="n">
        <v>1</v>
      </c>
      <c r="H87" s="14" t="inlineStr">
        <is>
          <t>랭킹의 이용수 확인한다</t>
        </is>
      </c>
      <c r="I87" s="14" t="inlineStr">
        <is>
          <t>미래 이벤트가 집계에서 제외된다</t>
        </is>
      </c>
      <c r="J87" s="10" t="inlineStr">
        <is>
          <t>공통</t>
        </is>
      </c>
      <c r="K87" s="10" t="inlineStr">
        <is>
          <t>Medium</t>
        </is>
      </c>
      <c r="L87" s="16">
        <f>IF(COUNTIF(M87:M87,"Fail")&gt;0,"Fail",IF(COUNTIF(M87:M87,"Blocked")&gt;0,"Blocked",IF(COUNTIF(M87:M87,"NI")&gt;0,"NI",IF(COUNTIF(M87:M87,"Pass")&gt;0,"Pass",""))))</f>
        <v/>
      </c>
      <c r="M87" s="17" t="n"/>
      <c r="N87" s="18" t="n"/>
      <c r="O87" s="18" t="n"/>
      <c r="P87" s="14" t="inlineStr">
        <is>
          <t>주입 데이터 방어입니다(§8-1). 기준일은 디버그 콘솔의 기준일 칸이 정합니다</t>
        </is>
      </c>
      <c r="Q87" s="10" t="inlineStr">
        <is>
          <t>TC-DSC-020</t>
        </is>
      </c>
      <c r="R87" s="10" t="inlineStr">
        <is>
          <t>결정적</t>
        </is>
      </c>
      <c r="S87" s="10" t="inlineStr">
        <is>
          <t>성인 인증</t>
        </is>
      </c>
    </row>
    <row r="88" ht="30" customHeight="1">
      <c r="B88" s="10">
        <f>ROW()-9</f>
        <v/>
      </c>
      <c r="C88" s="53" t="inlineStr">
        <is>
          <t>홈 화면</t>
        </is>
      </c>
      <c r="D88" s="22" t="inlineStr">
        <is>
          <t>랭킹 탭</t>
        </is>
      </c>
      <c r="E88" s="66" t="inlineStr">
        <is>
          <t>이용수 0건 제외</t>
        </is>
      </c>
      <c r="F88" s="14" t="inlineStr">
        <is>
          <t>계정 A로 로그인하고 선택한 기간의 이용수가 0인 작품이 있는 상태</t>
        </is>
      </c>
      <c r="G88" s="15" t="n">
        <v>1</v>
      </c>
      <c r="H88" s="14" t="inlineStr">
        <is>
          <t>이용수 순 랭킹 확인한다</t>
        </is>
      </c>
      <c r="I88" s="14" t="inlineStr">
        <is>
          <t>그 작품이 순위에서 제외된다</t>
        </is>
      </c>
      <c r="J88" s="10" t="inlineStr">
        <is>
          <t>공통</t>
        </is>
      </c>
      <c r="K88" s="10" t="inlineStr">
        <is>
          <t>Medium</t>
        </is>
      </c>
      <c r="L88" s="16">
        <f>IF(COUNTIF(M88:M88,"Fail")&gt;0,"Fail",IF(COUNTIF(M88:M88,"Blocked")&gt;0,"Blocked",IF(COUNTIF(M88:M88,"NI")&gt;0,"NI",IF(COUNTIF(M88:M88,"Pass")&gt;0,"Pass",""))))</f>
        <v/>
      </c>
      <c r="M88" s="17" t="n"/>
      <c r="N88" s="18" t="n"/>
      <c r="O88" s="18" t="n"/>
      <c r="P88" s="14" t="inlineStr">
        <is>
          <t>0건 제외는 이용수 순위에만 걸립니다 — 좋아요·리뷰 순에서는 빠지지 않습니다</t>
        </is>
      </c>
      <c r="Q88" s="10" t="inlineStr">
        <is>
          <t>TC-DSC-021</t>
        </is>
      </c>
      <c r="R88" s="10" t="inlineStr">
        <is>
          <t>결정적</t>
        </is>
      </c>
      <c r="S88" s="10" t="inlineStr">
        <is>
          <t>성인 인증</t>
        </is>
      </c>
    </row>
    <row r="89" ht="30" customHeight="1">
      <c r="B89" s="10">
        <f>ROW()-9</f>
        <v/>
      </c>
      <c r="C89" s="53" t="inlineStr">
        <is>
          <t>홈 화면</t>
        </is>
      </c>
      <c r="D89" s="22" t="inlineStr">
        <is>
          <t>랭킹 탭</t>
        </is>
      </c>
      <c r="E89" s="67" t="inlineStr">
        <is>
          <t>정렬 기준 전환</t>
        </is>
      </c>
      <c r="F89" s="14" t="inlineStr">
        <is>
          <t>계정 A로 로그인해 랭킹 탭을 연 상태</t>
        </is>
      </c>
      <c r="G89" s="15" t="n">
        <v>1</v>
      </c>
      <c r="H89" s="14" t="inlineStr">
        <is>
          <t>좋아요 순 선택한다</t>
        </is>
      </c>
      <c r="I89" s="14" t="inlineStr">
        <is>
          <t>좋아요 수 내림차순으로 정렬된다</t>
        </is>
      </c>
      <c r="J89" s="10" t="inlineStr">
        <is>
          <t>공통</t>
        </is>
      </c>
      <c r="K89" s="10" t="inlineStr">
        <is>
          <t>Medium</t>
        </is>
      </c>
      <c r="L89" s="16">
        <f>IF(COUNTIF(M89:M89,"Fail")&gt;0,"Fail",IF(COUNTIF(M89:M89,"Blocked")&gt;0,"Blocked",IF(COUNTIF(M89:M89,"NI")&gt;0,"NI",IF(COUNTIF(M89:M89,"Pass")&gt;0,"Pass",""))))</f>
        <v/>
      </c>
      <c r="M89" s="17" t="n"/>
      <c r="N89" s="18" t="n"/>
      <c r="O89" s="18" t="n"/>
      <c r="P89" s="14" t="inlineStr">
        <is>
          <t>동률은 §8-4 체인이 가릅니다. 정렬 근거는 디버그 콘솔의 카드 지표 표시를 켜면 카드에서 읽힙니다</t>
        </is>
      </c>
      <c r="Q89" s="10" t="inlineStr">
        <is>
          <t>TC-DSC-022</t>
        </is>
      </c>
      <c r="R89" s="10" t="inlineStr">
        <is>
          <t>결정적</t>
        </is>
      </c>
      <c r="S89" s="10" t="inlineStr">
        <is>
          <t>성인 인증</t>
        </is>
      </c>
    </row>
    <row r="90" ht="30" customHeight="1">
      <c r="B90" s="10">
        <f>ROW()-9</f>
        <v/>
      </c>
      <c r="C90" s="53" t="inlineStr">
        <is>
          <t>홈 화면</t>
        </is>
      </c>
      <c r="D90" s="22" t="inlineStr">
        <is>
          <t>랭킹 탭</t>
        </is>
      </c>
      <c r="E90" s="67" t="inlineStr">
        <is>
          <t>정렬 기준 전환</t>
        </is>
      </c>
      <c r="F90" s="14" t="inlineStr"/>
      <c r="G90" s="15" t="n">
        <v>2</v>
      </c>
      <c r="H90" s="14" t="inlineStr">
        <is>
          <t>리뷰 많은 순 선택한다</t>
        </is>
      </c>
      <c r="I90" s="14" t="inlineStr">
        <is>
          <t>리뷰 수 내림차순으로 정렬된다</t>
        </is>
      </c>
      <c r="J90" s="10" t="inlineStr">
        <is>
          <t>공통</t>
        </is>
      </c>
      <c r="K90" s="10" t="inlineStr">
        <is>
          <t>Medium</t>
        </is>
      </c>
      <c r="L90" s="16">
        <f>IF(COUNTIF(M90:M90,"Fail")&gt;0,"Fail",IF(COUNTIF(M90:M90,"Blocked")&gt;0,"Blocked",IF(COUNTIF(M90:M90,"NI")&gt;0,"NI",IF(COUNTIF(M90:M90,"Pass")&gt;0,"Pass",""))))</f>
        <v/>
      </c>
      <c r="M90" s="17" t="n"/>
      <c r="N90" s="18" t="n"/>
      <c r="O90" s="18" t="n"/>
      <c r="P90" s="14" t="n"/>
      <c r="Q90" s="10" t="inlineStr">
        <is>
          <t>TC-DSC-022</t>
        </is>
      </c>
      <c r="R90" s="10" t="inlineStr">
        <is>
          <t>결정적</t>
        </is>
      </c>
      <c r="S90" s="10" t="inlineStr">
        <is>
          <t>성인 인증</t>
        </is>
      </c>
    </row>
    <row r="91" ht="30" customHeight="1">
      <c r="B91" s="10">
        <f>ROW()-9</f>
        <v/>
      </c>
      <c r="C91" s="53" t="inlineStr">
        <is>
          <t>홈 화면</t>
        </is>
      </c>
      <c r="D91" s="22" t="inlineStr">
        <is>
          <t>랭킹 탭</t>
        </is>
      </c>
      <c r="E91" s="66" t="inlineStr">
        <is>
          <t>리뷰 점수순 최소 표본</t>
        </is>
      </c>
      <c r="F91" s="14" t="inlineStr">
        <is>
          <t>계정 A로 로그인하고 리뷰 수가 50 미만인 작품이 있는 상태</t>
        </is>
      </c>
      <c r="G91" s="15" t="n">
        <v>1</v>
      </c>
      <c r="H91" s="14" t="inlineStr">
        <is>
          <t>리뷰 점수 순 선택한다</t>
        </is>
      </c>
      <c r="I91" s="14" t="inlineStr">
        <is>
          <t>리뷰 50개 미만인 작품이 순위에서 제외된다</t>
        </is>
      </c>
      <c r="J91" s="10" t="inlineStr">
        <is>
          <t>공통</t>
        </is>
      </c>
      <c r="K91" s="10" t="inlineStr">
        <is>
          <t>Medium</t>
        </is>
      </c>
      <c r="L91" s="16">
        <f>IF(COUNTIF(M91:M91,"Fail")&gt;0,"Fail",IF(COUNTIF(M91:M91,"Blocked")&gt;0,"Blocked",IF(COUNTIF(M91:M91,"NI")&gt;0,"NI",IF(COUNTIF(M91:M91,"Pass")&gt;0,"Pass",""))))</f>
        <v/>
      </c>
      <c r="M91" s="17" t="n"/>
      <c r="N91" s="18" t="n"/>
      <c r="O91" s="18" t="n"/>
      <c r="P91" s="14" t="inlineStr">
        <is>
          <t>임계 50은 §8-3이 정본입니다. 경계(49·50·51)는 디버그 콘솔 표의 리뷰 수 칸으로 만듭니다</t>
        </is>
      </c>
      <c r="Q91" s="10" t="inlineStr">
        <is>
          <t>TC-DSC-023</t>
        </is>
      </c>
      <c r="R91" s="10" t="inlineStr">
        <is>
          <t>결정적</t>
        </is>
      </c>
      <c r="S91" s="10" t="inlineStr">
        <is>
          <t>성인 인증</t>
        </is>
      </c>
    </row>
    <row r="92" ht="30" customHeight="1">
      <c r="B92" s="10">
        <f>ROW()-9</f>
        <v/>
      </c>
      <c r="C92" s="53" t="inlineStr">
        <is>
          <t>홈 화면</t>
        </is>
      </c>
      <c r="D92" s="22" t="inlineStr">
        <is>
          <t>랭킹 탭</t>
        </is>
      </c>
      <c r="E92" s="68" t="inlineStr">
        <is>
          <t>랭킹 도움말 표시</t>
        </is>
      </c>
      <c r="F92" s="14" t="inlineStr">
        <is>
          <t>계정 A로 로그인해 랭킹 탭을 연 상태</t>
        </is>
      </c>
      <c r="G92" s="15" t="n">
        <v>1</v>
      </c>
      <c r="H92" s="14" t="inlineStr">
        <is>
          <t>랭킹 도움말 선택한다</t>
        </is>
      </c>
      <c r="I92" s="14" t="inlineStr">
        <is>
          <t>최소 표본 기준을 포함한 규칙 요약 노출된다</t>
        </is>
      </c>
      <c r="J92" s="10" t="inlineStr">
        <is>
          <t>공통</t>
        </is>
      </c>
      <c r="K92" s="10" t="inlineStr">
        <is>
          <t>Low</t>
        </is>
      </c>
      <c r="L92" s="16">
        <f>IF(COUNTIF(M92:M92,"Fail")&gt;0,"Fail",IF(COUNTIF(M92:M92,"Blocked")&gt;0,"Blocked",IF(COUNTIF(M92:M92,"NI")&gt;0,"NI",IF(COUNTIF(M92:M92,"Pass")&gt;0,"Pass",""))))</f>
        <v/>
      </c>
      <c r="M92" s="17" t="n"/>
      <c r="N92" s="18" t="n"/>
      <c r="O92" s="18" t="n"/>
      <c r="P92" s="14" t="inlineStr">
        <is>
          <t>규칙성 화면에 두는 도움말입니다 — 화면 안에서 기준을 읽을 수 있어야 정렬 결과를 판단할 수 있습니다</t>
        </is>
      </c>
      <c r="Q92" s="10" t="inlineStr">
        <is>
          <t>TC-DSC-024</t>
        </is>
      </c>
      <c r="R92" s="10" t="inlineStr">
        <is>
          <t>결정적</t>
        </is>
      </c>
      <c r="S92" s="10" t="inlineStr">
        <is>
          <t>성인 인증</t>
        </is>
      </c>
    </row>
    <row r="93" ht="30" customHeight="1">
      <c r="B93" s="10">
        <f>ROW()-9</f>
        <v/>
      </c>
      <c r="C93" s="53" t="inlineStr">
        <is>
          <t>홈 화면</t>
        </is>
      </c>
      <c r="D93" s="69" t="inlineStr">
        <is>
          <t>신작 탭</t>
        </is>
      </c>
      <c r="E93" s="70" t="inlineStr">
        <is>
          <t>출시일 최신순 정렬</t>
        </is>
      </c>
      <c r="F93" s="14" t="inlineStr">
        <is>
          <t>계정 A로 로그인한 상태</t>
        </is>
      </c>
      <c r="G93" s="15" t="n">
        <v>1</v>
      </c>
      <c r="H93" s="14" t="inlineStr">
        <is>
          <t>신작 칩 선택한다</t>
        </is>
      </c>
      <c r="I93" s="14" t="inlineStr">
        <is>
          <t>출시일 최신순으로 정렬된다</t>
        </is>
      </c>
      <c r="J93" s="10" t="inlineStr">
        <is>
          <t>공통</t>
        </is>
      </c>
      <c r="K93" s="10" t="inlineStr">
        <is>
          <t>Medium</t>
        </is>
      </c>
      <c r="L93" s="16">
        <f>IF(COUNTIF(M93:M93,"Fail")&gt;0,"Fail",IF(COUNTIF(M93:M93,"Blocked")&gt;0,"Blocked",IF(COUNTIF(M93:M93,"NI")&gt;0,"NI",IF(COUNTIF(M93:M93,"Pass")&gt;0,"Pass",""))))</f>
        <v/>
      </c>
      <c r="M93" s="17" t="n"/>
      <c r="N93" s="18" t="n"/>
      <c r="O93" s="18" t="n"/>
      <c r="P93" s="14" t="inlineStr">
        <is>
          <t>떠오르는 신작과 달리 이용수 조건이 없습니다 — 전량을 출시일로만 줄 세웁니다</t>
        </is>
      </c>
      <c r="Q93" s="10" t="inlineStr">
        <is>
          <t>TC-DSC-025</t>
        </is>
      </c>
      <c r="R93" s="10" t="inlineStr">
        <is>
          <t>결정적</t>
        </is>
      </c>
      <c r="S93" s="10" t="inlineStr">
        <is>
          <t>성인 인증</t>
        </is>
      </c>
    </row>
    <row r="94" ht="30" customHeight="1">
      <c r="B94" s="10">
        <f>ROW()-9</f>
        <v/>
      </c>
      <c r="C94" s="53" t="inlineStr">
        <is>
          <t>홈 화면</t>
        </is>
      </c>
      <c r="D94" s="71" t="inlineStr">
        <is>
          <t>카테고리 탭</t>
        </is>
      </c>
      <c r="E94" s="58" t="inlineStr">
        <is>
          <t>칩 선택 시 모수 제한</t>
        </is>
      </c>
      <c r="F94" s="14" t="inlineStr">
        <is>
          <t>계정 A로 로그인한 상태</t>
        </is>
      </c>
      <c r="G94" s="15" t="n">
        <v>1</v>
      </c>
      <c r="H94" s="14" t="inlineStr">
        <is>
          <t>로맨스 칩 선택한다</t>
        </is>
      </c>
      <c r="I94" s="14" t="inlineStr">
        <is>
          <t>로맨스 카테고리를 가진 작품만 노출된다</t>
        </is>
      </c>
      <c r="J94" s="10" t="inlineStr">
        <is>
          <t>공통</t>
        </is>
      </c>
      <c r="K94" s="10" t="inlineStr">
        <is>
          <t>Medium</t>
        </is>
      </c>
      <c r="L94" s="16">
        <f>IF(COUNTIF(M94:M94,"Fail")&gt;0,"Fail",IF(COUNTIF(M94:M94,"Blocked")&gt;0,"Blocked",IF(COUNTIF(M94:M94,"NI")&gt;0,"NI",IF(COUNTIF(M94:M94,"Pass")&gt;0,"Pass",""))))</f>
        <v/>
      </c>
      <c r="M94" s="17" t="n"/>
      <c r="N94" s="18" t="n"/>
      <c r="O94" s="18" t="n"/>
      <c r="P94" s="14" t="inlineStr">
        <is>
          <t>카테고리는 작품의 속성이고 한 작품이 여럿을 가집니다(§8-6). 대표는 배열의 첫 항목입니다</t>
        </is>
      </c>
      <c r="Q94" s="10" t="inlineStr">
        <is>
          <t>TC-DSC-026</t>
        </is>
      </c>
      <c r="R94" s="10" t="inlineStr">
        <is>
          <t>결정적</t>
        </is>
      </c>
      <c r="S94" s="10" t="inlineStr">
        <is>
          <t>성인 인증</t>
        </is>
      </c>
    </row>
    <row r="95" ht="30" customHeight="1">
      <c r="B95" s="10">
        <f>ROW()-9</f>
        <v/>
      </c>
      <c r="C95" s="53" t="inlineStr">
        <is>
          <t>홈 화면</t>
        </is>
      </c>
      <c r="D95" s="71" t="inlineStr">
        <is>
          <t>카테고리 탭</t>
        </is>
      </c>
      <c r="E95" s="72" t="inlineStr">
        <is>
          <t>카테고리 인기 신작</t>
        </is>
      </c>
      <c r="F95" s="14" t="inlineStr">
        <is>
          <t>계정 A로 로그인해 카테고리 칩 화면을 연 상태</t>
        </is>
      </c>
      <c r="G95" s="15" t="n">
        <v>1</v>
      </c>
      <c r="H95" s="14" t="inlineStr">
        <is>
          <t>카테고리 인기 신작 섹션 확인한다</t>
        </is>
      </c>
      <c r="I95" s="14" t="inlineStr">
        <is>
          <t>그 카테고리를 가진 작품만 모수로 잡힌다</t>
        </is>
      </c>
      <c r="J95" s="10" t="inlineStr">
        <is>
          <t>공통</t>
        </is>
      </c>
      <c r="K95" s="10" t="inlineStr">
        <is>
          <t>Medium</t>
        </is>
      </c>
      <c r="L95" s="16">
        <f>IF(COUNTIF(M95:M95,"Fail")&gt;0,"Fail",IF(COUNTIF(M95:M95,"Blocked")&gt;0,"Blocked",IF(COUNTIF(M95:M95,"NI")&gt;0,"NI",IF(COUNTIF(M95:M95,"Pass")&gt;0,"Pass",""))))</f>
        <v/>
      </c>
      <c r="M95" s="17" t="n"/>
      <c r="N95" s="18" t="n"/>
      <c r="O95" s="18" t="n"/>
      <c r="P95" s="14" t="inlineStr">
        <is>
          <t>§8-5의 떠오르는 신작과 식이 같고 모수만 카테고리로 좁힌 것입니다</t>
        </is>
      </c>
      <c r="Q95" s="10" t="inlineStr">
        <is>
          <t>TC-DSC-027</t>
        </is>
      </c>
      <c r="R95" s="10" t="inlineStr">
        <is>
          <t>결정적</t>
        </is>
      </c>
      <c r="S95" s="10" t="inlineStr">
        <is>
          <t>성인 인증</t>
        </is>
      </c>
    </row>
    <row r="96" ht="30" customHeight="1">
      <c r="B96" s="10">
        <f>ROW()-9</f>
        <v/>
      </c>
      <c r="C96" s="53" t="inlineStr">
        <is>
          <t>홈 화면</t>
        </is>
      </c>
      <c r="D96" s="71" t="inlineStr">
        <is>
          <t>카테고리 탭</t>
        </is>
      </c>
      <c r="E96" s="72" t="inlineStr">
        <is>
          <t>카테고리 인기 신작</t>
        </is>
      </c>
      <c r="F96" s="19" t="n"/>
      <c r="G96" s="19" t="n"/>
      <c r="H96" s="19" t="n"/>
      <c r="I96" s="14" t="inlineStr">
        <is>
          <t>떠오르는 신작과 같은 선정식이 적용된다</t>
        </is>
      </c>
      <c r="J96" s="10" t="inlineStr">
        <is>
          <t>공통</t>
        </is>
      </c>
      <c r="K96" s="10" t="inlineStr">
        <is>
          <t>Medium</t>
        </is>
      </c>
      <c r="L96" s="16">
        <f>IF(COUNTIF(M96:M96,"Fail")&gt;0,"Fail",IF(COUNTIF(M96:M96,"Blocked")&gt;0,"Blocked",IF(COUNTIF(M96:M96,"NI")&gt;0,"NI",IF(COUNTIF(M96:M96,"Pass")&gt;0,"Pass",""))))</f>
        <v/>
      </c>
      <c r="M96" s="17" t="n"/>
      <c r="N96" s="18" t="n"/>
      <c r="O96" s="18" t="n"/>
      <c r="P96" s="19" t="n"/>
      <c r="Q96" s="10" t="inlineStr">
        <is>
          <t>TC-DSC-027</t>
        </is>
      </c>
      <c r="R96" s="10" t="inlineStr">
        <is>
          <t>결정적</t>
        </is>
      </c>
      <c r="S96" s="10" t="inlineStr">
        <is>
          <t>성인 인증</t>
        </is>
      </c>
    </row>
    <row r="97" ht="30" customHeight="1">
      <c r="B97" s="10">
        <f>ROW()-9</f>
        <v/>
      </c>
      <c r="C97" s="53" t="inlineStr">
        <is>
          <t>홈 화면</t>
        </is>
      </c>
      <c r="D97" s="71" t="inlineStr">
        <is>
          <t>카테고리 탭</t>
        </is>
      </c>
      <c r="E97" s="73" t="inlineStr">
        <is>
          <t>함께 보는 카테고리 AND 필터</t>
        </is>
      </c>
      <c r="F97" s="14" t="inlineStr">
        <is>
          <t>계정 A로 로그인해 로맨스 칩 화면을 연 상태</t>
        </is>
      </c>
      <c r="G97" s="15" t="n">
        <v>1</v>
      </c>
      <c r="H97" s="14" t="inlineStr">
        <is>
          <t>후회 칩 선택한다</t>
        </is>
      </c>
      <c r="I97" s="14" t="inlineStr">
        <is>
          <t>로맨스와 후회를 모두 가진 작품만 노출된다</t>
        </is>
      </c>
      <c r="J97" s="10" t="inlineStr">
        <is>
          <t>공통</t>
        </is>
      </c>
      <c r="K97" s="10" t="inlineStr">
        <is>
          <t>Medium</t>
        </is>
      </c>
      <c r="L97" s="16">
        <f>IF(COUNTIF(M97:M97,"Fail")&gt;0,"Fail",IF(COUNTIF(M97:M97,"Blocked")&gt;0,"Blocked",IF(COUNTIF(M97:M97,"NI")&gt;0,"NI",IF(COUNTIF(M97:M97,"Pass")&gt;0,"Pass",""))))</f>
        <v/>
      </c>
      <c r="M97" s="17" t="n"/>
      <c r="N97" s="18" t="n"/>
      <c r="O97" s="18" t="n"/>
      <c r="P97" s="14" t="inlineStr">
        <is>
          <t>OR가 아니라 AND입니다. 로맨스의 함께 보는 카테고리는 집착·소꿉친구·계약연애·후회입니다(§8-6)</t>
        </is>
      </c>
      <c r="Q97" s="10" t="inlineStr">
        <is>
          <t>TC-DSC-028</t>
        </is>
      </c>
      <c r="R97" s="10" t="inlineStr">
        <is>
          <t>결정적</t>
        </is>
      </c>
      <c r="S97" s="10" t="inlineStr">
        <is>
          <t>성인 인증</t>
        </is>
      </c>
    </row>
    <row r="98" ht="30" customHeight="1">
      <c r="B98" s="10">
        <f>ROW()-9</f>
        <v/>
      </c>
      <c r="C98" s="53" t="inlineStr">
        <is>
          <t>홈 화면</t>
        </is>
      </c>
      <c r="D98" s="71" t="inlineStr">
        <is>
          <t>카테고리 탭</t>
        </is>
      </c>
      <c r="E98" s="74" t="inlineStr">
        <is>
          <t>AND 필터 결과 0건 안내</t>
        </is>
      </c>
      <c r="F98" s="14" t="inlineStr">
        <is>
          <t>계정 A로 로그인해 로맨스 칩 화면을 연 상태</t>
        </is>
      </c>
      <c r="G98" s="15" t="n">
        <v>1</v>
      </c>
      <c r="H98" s="14" t="inlineStr">
        <is>
          <t>겹치는 작품이 없는 함께 보는 카테고리 칩 선택한다</t>
        </is>
      </c>
      <c r="I98" s="14" t="inlineStr">
        <is>
          <t>결과 0건 안내 노출된다</t>
        </is>
      </c>
      <c r="J98" s="10" t="inlineStr">
        <is>
          <t>공통</t>
        </is>
      </c>
      <c r="K98" s="10" t="inlineStr">
        <is>
          <t>Low</t>
        </is>
      </c>
      <c r="L98" s="16">
        <f>IF(COUNTIF(M98:M98,"Fail")&gt;0,"Fail",IF(COUNTIF(M98:M98,"Blocked")&gt;0,"Blocked",IF(COUNTIF(M98:M98,"NI")&gt;0,"NI",IF(COUNTIF(M98:M98,"Pass")&gt;0,"Pass",""))))</f>
        <v/>
      </c>
      <c r="M98" s="17" t="n"/>
      <c r="N98" s="18" t="n"/>
      <c r="O98" s="18" t="n"/>
      <c r="P98" s="14" t="inlineStr">
        <is>
          <t>목록만 비고 안내가 없으면 필터가 안 걸린 것인지 결과가 없는 것인지 구분되지 않습니다</t>
        </is>
      </c>
      <c r="Q98" s="10" t="inlineStr">
        <is>
          <t>TC-DSC-029</t>
        </is>
      </c>
      <c r="R98" s="10" t="inlineStr">
        <is>
          <t>결정적</t>
        </is>
      </c>
      <c r="S98" s="10" t="inlineStr">
        <is>
          <t>성인 인증</t>
        </is>
      </c>
    </row>
    <row r="99" ht="30" customHeight="1">
      <c r="B99" s="10">
        <f>ROW()-9</f>
        <v/>
      </c>
      <c r="C99" s="53" t="inlineStr">
        <is>
          <t>홈 화면</t>
        </is>
      </c>
      <c r="D99" s="71" t="inlineStr">
        <is>
          <t>카테고리 탭</t>
        </is>
      </c>
      <c r="E99" s="75" t="inlineStr">
        <is>
          <t>전체 목록 정렬 전환</t>
        </is>
      </c>
      <c r="F99" s="14" t="inlineStr">
        <is>
          <t>계정 A로 로그인해 카테고리 칩 화면을 연 상태</t>
        </is>
      </c>
      <c r="G99" s="15" t="n">
        <v>1</v>
      </c>
      <c r="H99" s="14" t="inlineStr">
        <is>
          <t>최신순 선택한다</t>
        </is>
      </c>
      <c r="I99" s="14" t="inlineStr">
        <is>
          <t>출시일 최신순으로 정렬된다</t>
        </is>
      </c>
      <c r="J99" s="10" t="inlineStr">
        <is>
          <t>공통</t>
        </is>
      </c>
      <c r="K99" s="10" t="inlineStr">
        <is>
          <t>Medium</t>
        </is>
      </c>
      <c r="L99" s="16">
        <f>IF(COUNTIF(M99:M99,"Fail")&gt;0,"Fail",IF(COUNTIF(M99:M99,"Blocked")&gt;0,"Blocked",IF(COUNTIF(M99:M99,"NI")&gt;0,"NI",IF(COUNTIF(M99:M99,"Pass")&gt;0,"Pass",""))))</f>
        <v/>
      </c>
      <c r="M99" s="17" t="n"/>
      <c r="N99" s="18" t="n"/>
      <c r="O99" s="18" t="n"/>
      <c r="P99" s="14" t="inlineStr">
        <is>
          <t>대화순은 기간 창이 없는 누적 이용수입니다 — 랭킹의 기간 필터와 다른 축입니다</t>
        </is>
      </c>
      <c r="Q99" s="10" t="inlineStr">
        <is>
          <t>TC-DSC-030</t>
        </is>
      </c>
      <c r="R99" s="10" t="inlineStr">
        <is>
          <t>결정적</t>
        </is>
      </c>
      <c r="S99" s="10" t="inlineStr">
        <is>
          <t>성인 인증</t>
        </is>
      </c>
    </row>
    <row r="100" ht="30" customHeight="1">
      <c r="B100" s="10">
        <f>ROW()-9</f>
        <v/>
      </c>
      <c r="C100" s="53" t="inlineStr">
        <is>
          <t>홈 화면</t>
        </is>
      </c>
      <c r="D100" s="71" t="inlineStr">
        <is>
          <t>카테고리 탭</t>
        </is>
      </c>
      <c r="E100" s="75" t="inlineStr">
        <is>
          <t>전체 목록 정렬 전환</t>
        </is>
      </c>
      <c r="F100" s="14" t="inlineStr"/>
      <c r="G100" s="15" t="n">
        <v>2</v>
      </c>
      <c r="H100" s="14" t="inlineStr">
        <is>
          <t>대화순 선택한다</t>
        </is>
      </c>
      <c r="I100" s="14" t="inlineStr">
        <is>
          <t>누적 이용수 순으로 정렬된다</t>
        </is>
      </c>
      <c r="J100" s="10" t="inlineStr">
        <is>
          <t>공통</t>
        </is>
      </c>
      <c r="K100" s="10" t="inlineStr">
        <is>
          <t>Medium</t>
        </is>
      </c>
      <c r="L100" s="16">
        <f>IF(COUNTIF(M100:M100,"Fail")&gt;0,"Fail",IF(COUNTIF(M100:M100,"Blocked")&gt;0,"Blocked",IF(COUNTIF(M100:M100,"NI")&gt;0,"NI",IF(COUNTIF(M100:M100,"Pass")&gt;0,"Pass",""))))</f>
        <v/>
      </c>
      <c r="M100" s="17" t="n"/>
      <c r="N100" s="18" t="n"/>
      <c r="O100" s="18" t="n"/>
      <c r="P100" s="14" t="n"/>
      <c r="Q100" s="10" t="inlineStr">
        <is>
          <t>TC-DSC-030</t>
        </is>
      </c>
      <c r="R100" s="10" t="inlineStr">
        <is>
          <t>결정적</t>
        </is>
      </c>
      <c r="S100" s="10" t="inlineStr">
        <is>
          <t>성인 인증</t>
        </is>
      </c>
    </row>
    <row r="101" ht="30" customHeight="1">
      <c r="B101" s="10">
        <f>ROW()-9</f>
        <v/>
      </c>
      <c r="C101" s="53" t="inlineStr">
        <is>
          <t>홈 화면</t>
        </is>
      </c>
      <c r="D101" s="76" t="inlineStr">
        <is>
          <t>캐릭터 카드</t>
        </is>
      </c>
      <c r="E101" s="77" t="inlineStr">
        <is>
          <t>카드 구성 네 줄</t>
        </is>
      </c>
      <c r="F101" s="14" t="inlineStr">
        <is>
          <t>계정 A로 로그인한 상태</t>
        </is>
      </c>
      <c r="G101" s="15" t="n">
        <v>1</v>
      </c>
      <c r="H101" s="14" t="inlineStr">
        <is>
          <t>홈 화면의 캐릭터 카드 확인한다</t>
        </is>
      </c>
      <c r="I101" s="14" t="inlineStr">
        <is>
          <t>이미지 자리·페이지 제목·보조 설명·제작자 네 줄로 구성된다</t>
        </is>
      </c>
      <c r="J101" s="10" t="inlineStr">
        <is>
          <t>공통</t>
        </is>
      </c>
      <c r="K101" s="10" t="inlineStr">
        <is>
          <t>Low</t>
        </is>
      </c>
      <c r="L101" s="16">
        <f>IF(COUNTIF(M101:M101,"Fail")&gt;0,"Fail",IF(COUNTIF(M101:M101,"Blocked")&gt;0,"Blocked",IF(COUNTIF(M101:M101,"NI")&gt;0,"NI",IF(COUNTIF(M101:M101,"Pass")&gt;0,"Pass",""))))</f>
        <v/>
      </c>
      <c r="M101" s="17" t="n"/>
      <c r="N101" s="18" t="n"/>
      <c r="O101" s="18" t="n"/>
      <c r="P101" s="14" t="inlineStr">
        <is>
          <t>지표를 카드에 두지 않는 것이 스펙입니다(§8-4-1) — 서비스 화면을 그대로 두고 정렬 근거는 테스트 설비로만 켭니다</t>
        </is>
      </c>
      <c r="Q101" s="10" t="inlineStr">
        <is>
          <t>TC-DSC-031</t>
        </is>
      </c>
      <c r="R101" s="10" t="inlineStr">
        <is>
          <t>결정적</t>
        </is>
      </c>
      <c r="S101" s="10" t="inlineStr">
        <is>
          <t>성인 인증</t>
        </is>
      </c>
    </row>
    <row r="102" ht="30" customHeight="1">
      <c r="B102" s="10">
        <f>ROW()-9</f>
        <v/>
      </c>
      <c r="C102" s="53" t="inlineStr">
        <is>
          <t>홈 화면</t>
        </is>
      </c>
      <c r="D102" s="76" t="inlineStr">
        <is>
          <t>캐릭터 카드</t>
        </is>
      </c>
      <c r="E102" s="77" t="inlineStr">
        <is>
          <t>카드 구성 네 줄</t>
        </is>
      </c>
      <c r="F102" s="19" t="n"/>
      <c r="G102" s="19" t="n"/>
      <c r="H102" s="19" t="n"/>
      <c r="I102" s="14" t="inlineStr">
        <is>
          <t>좋아요·리뷰·이용수 지표가 카드에 노출되지 않는다</t>
        </is>
      </c>
      <c r="J102" s="10" t="inlineStr">
        <is>
          <t>공통</t>
        </is>
      </c>
      <c r="K102" s="10" t="inlineStr">
        <is>
          <t>Low</t>
        </is>
      </c>
      <c r="L102" s="16">
        <f>IF(COUNTIF(M102:M102,"Fail")&gt;0,"Fail",IF(COUNTIF(M102:M102,"Blocked")&gt;0,"Blocked",IF(COUNTIF(M102:M102,"NI")&gt;0,"NI",IF(COUNTIF(M102:M102,"Pass")&gt;0,"Pass",""))))</f>
        <v/>
      </c>
      <c r="M102" s="17" t="n"/>
      <c r="N102" s="18" t="n"/>
      <c r="O102" s="18" t="n"/>
      <c r="P102" s="19" t="n"/>
      <c r="Q102" s="10" t="inlineStr">
        <is>
          <t>TC-DSC-031</t>
        </is>
      </c>
      <c r="R102" s="10" t="inlineStr">
        <is>
          <t>결정적</t>
        </is>
      </c>
      <c r="S102" s="10" t="inlineStr">
        <is>
          <t>성인 인증</t>
        </is>
      </c>
    </row>
    <row r="103" ht="30" customHeight="1">
      <c r="B103" s="10">
        <f>ROW()-9</f>
        <v/>
      </c>
      <c r="C103" s="53" t="inlineStr">
        <is>
          <t>홈 화면</t>
        </is>
      </c>
      <c r="D103" s="76" t="inlineStr">
        <is>
          <t>캐릭터 카드</t>
        </is>
      </c>
      <c r="E103" s="78" t="inlineStr">
        <is>
          <t>지표 표시 토글 반영</t>
        </is>
      </c>
      <c r="F103" s="14" t="inlineStr">
        <is>
          <t>계정 A로 로그인하고 디버그 콘솔에서 카드 지표 표시를 켠 상태</t>
        </is>
      </c>
      <c r="G103" s="15" t="n">
        <v>1</v>
      </c>
      <c r="H103" s="14" t="inlineStr">
        <is>
          <t>홈 화면의 캐릭터 카드 확인한다</t>
        </is>
      </c>
      <c r="I103" s="14" t="inlineStr">
        <is>
          <t>카드에 지표 줄이 붙는다</t>
        </is>
      </c>
      <c r="J103" s="10" t="inlineStr">
        <is>
          <t>공통</t>
        </is>
      </c>
      <c r="K103" s="10" t="inlineStr">
        <is>
          <t>Low</t>
        </is>
      </c>
      <c r="L103" s="16">
        <f>IF(COUNTIF(M103:M103,"Fail")&gt;0,"Fail",IF(COUNTIF(M103:M103,"Blocked")&gt;0,"Blocked",IF(COUNTIF(M103:M103,"NI")&gt;0,"NI",IF(COUNTIF(M103:M103,"Pass")&gt;0,"Pass",""))))</f>
        <v/>
      </c>
      <c r="M103" s="17" t="n"/>
      <c r="N103" s="18" t="n"/>
      <c r="O103" s="18" t="n"/>
      <c r="P103" s="14" t="inlineStr">
        <is>
          <t>정렬 근거를 눈으로 확인할 때만 켭니다. 랭킹에서는 그 자리에 선택한 정렬 기준값이 나옵니다</t>
        </is>
      </c>
      <c r="Q103" s="10" t="inlineStr">
        <is>
          <t>TC-DSC-032</t>
        </is>
      </c>
      <c r="R103" s="10" t="inlineStr">
        <is>
          <t>결정적</t>
        </is>
      </c>
      <c r="S103" s="10" t="inlineStr">
        <is>
          <t>성인 인증</t>
        </is>
      </c>
    </row>
    <row r="104" ht="30" customHeight="1">
      <c r="B104" s="10">
        <f>ROW()-9</f>
        <v/>
      </c>
      <c r="C104" s="53" t="inlineStr">
        <is>
          <t>홈 화면</t>
        </is>
      </c>
      <c r="D104" s="79" t="inlineStr">
        <is>
          <t>언세이프 게이트</t>
        </is>
      </c>
      <c r="E104" s="80" t="inlineStr">
        <is>
          <t>미로그인 언세이프 블러</t>
        </is>
      </c>
      <c r="F104" s="14" t="inlineStr">
        <is>
          <t>미로그인 상태</t>
        </is>
      </c>
      <c r="G104" s="15" t="n">
        <v>1</v>
      </c>
      <c r="H104" s="14" t="inlineStr">
        <is>
          <t>홈 화면의 언세이프 작품 카드 확인한다</t>
        </is>
      </c>
      <c r="I104" s="14" t="inlineStr">
        <is>
          <t>카드가 블러 표식과 함께 노출된다</t>
        </is>
      </c>
      <c r="J104" s="10" t="inlineStr">
        <is>
          <t>공통</t>
        </is>
      </c>
      <c r="K104" s="10" t="inlineStr">
        <is>
          <t>High</t>
        </is>
      </c>
      <c r="L104" s="16">
        <f>IF(COUNTIF(M104:M104,"Fail")&gt;0,"Fail",IF(COUNTIF(M104:M104,"Blocked")&gt;0,"Blocked",IF(COUNTIF(M104:M104,"NI")&gt;0,"NI",IF(COUNTIF(M104:M104,"Pass")&gt;0,"Pass",""))))</f>
        <v/>
      </c>
      <c r="M104" s="17" t="n"/>
      <c r="N104" s="18" t="n"/>
      <c r="O104" s="18" t="n"/>
      <c r="P104" s="14" t="inlineStr">
        <is>
          <t>기본 데이터의 언세이프는 카일(c4)입니다. 미로그인은 로그인·본인인증으로 해제할 수 있어 미성년과 대비됩니다</t>
        </is>
      </c>
      <c r="Q104" s="10" t="inlineStr">
        <is>
          <t>TC-GAT-012</t>
        </is>
      </c>
      <c r="R104" s="10" t="inlineStr">
        <is>
          <t>금칙</t>
        </is>
      </c>
      <c r="S104" s="10" t="inlineStr">
        <is>
          <t>미로그인</t>
        </is>
      </c>
    </row>
    <row r="105" ht="30" customHeight="1">
      <c r="B105" s="10">
        <f>ROW()-9</f>
        <v/>
      </c>
      <c r="C105" s="53" t="inlineStr">
        <is>
          <t>홈 화면</t>
        </is>
      </c>
      <c r="D105" s="79" t="inlineStr">
        <is>
          <t>언세이프 게이트</t>
        </is>
      </c>
      <c r="E105" s="80" t="inlineStr">
        <is>
          <t>미로그인 언세이프 블러</t>
        </is>
      </c>
      <c r="F105" s="19" t="n"/>
      <c r="G105" s="19" t="n"/>
      <c r="H105" s="19" t="n"/>
      <c r="I105" s="14" t="inlineStr">
        <is>
          <t>상세 내용 노출되지 않는다</t>
        </is>
      </c>
      <c r="J105" s="10" t="inlineStr">
        <is>
          <t>공통</t>
        </is>
      </c>
      <c r="K105" s="10" t="inlineStr">
        <is>
          <t>High</t>
        </is>
      </c>
      <c r="L105" s="16">
        <f>IF(COUNTIF(M105:M105,"Fail")&gt;0,"Fail",IF(COUNTIF(M105:M105,"Blocked")&gt;0,"Blocked",IF(COUNTIF(M105:M105,"NI")&gt;0,"NI",IF(COUNTIF(M105:M105,"Pass")&gt;0,"Pass",""))))</f>
        <v/>
      </c>
      <c r="M105" s="17" t="n"/>
      <c r="N105" s="18" t="n"/>
      <c r="O105" s="18" t="n"/>
      <c r="P105" s="19" t="n"/>
      <c r="Q105" s="10" t="inlineStr">
        <is>
          <t>TC-GAT-012</t>
        </is>
      </c>
      <c r="R105" s="10" t="inlineStr">
        <is>
          <t>금칙</t>
        </is>
      </c>
      <c r="S105" s="10" t="inlineStr">
        <is>
          <t>미로그인</t>
        </is>
      </c>
    </row>
    <row r="106" ht="30" customHeight="1">
      <c r="B106" s="10">
        <f>ROW()-9</f>
        <v/>
      </c>
      <c r="C106" s="53" t="inlineStr">
        <is>
          <t>홈 화면</t>
        </is>
      </c>
      <c r="D106" s="79" t="inlineStr">
        <is>
          <t>언세이프 게이트</t>
        </is>
      </c>
      <c r="E106" s="81" t="inlineStr">
        <is>
          <t>본인인증 미진행 언세이프 블러</t>
        </is>
      </c>
      <c r="F106" s="14" t="inlineStr">
        <is>
          <t>계정 A로 로그인하고 성인 인증을 끈 상태</t>
        </is>
      </c>
      <c r="G106" s="15" t="n">
        <v>1</v>
      </c>
      <c r="H106" s="14" t="inlineStr">
        <is>
          <t>홈 화면의 언세이프 작품 카드 확인한다</t>
        </is>
      </c>
      <c r="I106" s="14" t="inlineStr">
        <is>
          <t>카드가 블러 표식과 함께 노출된다</t>
        </is>
      </c>
      <c r="J106" s="10" t="inlineStr">
        <is>
          <t>공통</t>
        </is>
      </c>
      <c r="K106" s="10" t="inlineStr">
        <is>
          <t>High</t>
        </is>
      </c>
      <c r="L106" s="16">
        <f>IF(COUNTIF(M106:M106,"Fail")&gt;0,"Fail",IF(COUNTIF(M106:M106,"Blocked")&gt;0,"Blocked",IF(COUNTIF(M106:M106,"NI")&gt;0,"NI",IF(COUNTIF(M106:M106,"Pass")&gt;0,"Pass",""))))</f>
        <v/>
      </c>
      <c r="M106" s="17" t="n"/>
      <c r="N106" s="18" t="n"/>
      <c r="O106" s="18" t="n"/>
      <c r="P106" s="14" t="inlineStr">
        <is>
          <t>인증을 하지 않아 나이를 모르는 상태입니다. 상태 스위처의 본인인증 미진행으로 만듭니다</t>
        </is>
      </c>
      <c r="Q106" s="10" t="inlineStr">
        <is>
          <t>TC-GAT-013</t>
        </is>
      </c>
      <c r="R106" s="10" t="inlineStr">
        <is>
          <t>금칙</t>
        </is>
      </c>
      <c r="S106" s="10" t="inlineStr">
        <is>
          <t>본인인증 미진행</t>
        </is>
      </c>
    </row>
    <row r="107" ht="30" customHeight="1">
      <c r="B107" s="10">
        <f>ROW()-9</f>
        <v/>
      </c>
      <c r="C107" s="53" t="inlineStr">
        <is>
          <t>홈 화면</t>
        </is>
      </c>
      <c r="D107" s="79" t="inlineStr">
        <is>
          <t>언세이프 게이트</t>
        </is>
      </c>
      <c r="E107" s="81" t="inlineStr">
        <is>
          <t>본인인증 미진행 언세이프 블러</t>
        </is>
      </c>
      <c r="F107" s="19" t="n"/>
      <c r="G107" s="19" t="n"/>
      <c r="H107" s="19" t="n"/>
      <c r="I107" s="14" t="inlineStr">
        <is>
          <t>본인인증을 하면 볼 수 있다는 안내 노출된다</t>
        </is>
      </c>
      <c r="J107" s="10" t="inlineStr">
        <is>
          <t>공통</t>
        </is>
      </c>
      <c r="K107" s="10" t="inlineStr">
        <is>
          <t>High</t>
        </is>
      </c>
      <c r="L107" s="16">
        <f>IF(COUNTIF(M107:M107,"Fail")&gt;0,"Fail",IF(COUNTIF(M107:M107,"Blocked")&gt;0,"Blocked",IF(COUNTIF(M107:M107,"NI")&gt;0,"NI",IF(COUNTIF(M107:M107,"Pass")&gt;0,"Pass",""))))</f>
        <v/>
      </c>
      <c r="M107" s="17" t="n"/>
      <c r="N107" s="18" t="n"/>
      <c r="O107" s="18" t="n"/>
      <c r="P107" s="19" t="n"/>
      <c r="Q107" s="10" t="inlineStr">
        <is>
          <t>TC-GAT-013</t>
        </is>
      </c>
      <c r="R107" s="10" t="inlineStr">
        <is>
          <t>금칙</t>
        </is>
      </c>
      <c r="S107" s="10" t="inlineStr">
        <is>
          <t>본인인증 미진행</t>
        </is>
      </c>
    </row>
    <row r="108" ht="30" customHeight="1">
      <c r="B108" s="10">
        <f>ROW()-9</f>
        <v/>
      </c>
      <c r="C108" s="53" t="inlineStr">
        <is>
          <t>홈 화면</t>
        </is>
      </c>
      <c r="D108" s="79" t="inlineStr">
        <is>
          <t>언세이프 게이트</t>
        </is>
      </c>
      <c r="E108" s="70" t="inlineStr">
        <is>
          <t>미성년 언세이프 차단</t>
        </is>
      </c>
      <c r="F108" s="14" t="inlineStr">
        <is>
          <t>계정 B(미성년)로 로그인한 상태</t>
        </is>
      </c>
      <c r="G108" s="15" t="n">
        <v>1</v>
      </c>
      <c r="H108" s="14" t="inlineStr">
        <is>
          <t>홈 화면의 언세이프 작품 카드 확인한다</t>
        </is>
      </c>
      <c r="I108" s="14" t="inlineStr">
        <is>
          <t>카드가 블러 표식과 함께 노출된다</t>
        </is>
      </c>
      <c r="J108" s="10" t="inlineStr">
        <is>
          <t>공통</t>
        </is>
      </c>
      <c r="K108" s="10" t="inlineStr">
        <is>
          <t>High</t>
        </is>
      </c>
      <c r="L108" s="16">
        <f>IF(COUNTIF(M108:M108,"Fail")&gt;0,"Fail",IF(COUNTIF(M108:M108,"Blocked")&gt;0,"Blocked",IF(COUNTIF(M108:M108,"NI")&gt;0,"NI",IF(COUNTIF(M108:M108,"Pass")&gt;0,"Pass",""))))</f>
        <v/>
      </c>
      <c r="M108" s="17" t="n"/>
      <c r="N108" s="18" t="n"/>
      <c r="O108" s="18" t="n"/>
      <c r="P108" s="14" t="inlineStr">
        <is>
          <t>미성년은 인증으로도 풀리지 않습니다 — 본인인증 미진행과 화면은 같아 보이나 해제 가능성이 정반대이며, 이 대비가 게이팅 검증의 축입니다</t>
        </is>
      </c>
      <c r="Q108" s="10" t="inlineStr">
        <is>
          <t>TC-GAT-014</t>
        </is>
      </c>
      <c r="R108" s="10" t="inlineStr">
        <is>
          <t>금칙</t>
        </is>
      </c>
      <c r="S108" s="10" t="inlineStr">
        <is>
          <t>미성년</t>
        </is>
      </c>
    </row>
    <row r="109" ht="30" customHeight="1">
      <c r="B109" s="10">
        <f>ROW()-9</f>
        <v/>
      </c>
      <c r="C109" s="53" t="inlineStr">
        <is>
          <t>홈 화면</t>
        </is>
      </c>
      <c r="D109" s="79" t="inlineStr">
        <is>
          <t>언세이프 게이트</t>
        </is>
      </c>
      <c r="E109" s="70" t="inlineStr">
        <is>
          <t>미성년 언세이프 차단</t>
        </is>
      </c>
      <c r="F109" s="19" t="n"/>
      <c r="G109" s="19" t="n"/>
      <c r="H109" s="19" t="n"/>
      <c r="I109" s="14" t="inlineStr">
        <is>
          <t>해제 수단이 없다는 안내 노출된다</t>
        </is>
      </c>
      <c r="J109" s="10" t="inlineStr">
        <is>
          <t>공통</t>
        </is>
      </c>
      <c r="K109" s="10" t="inlineStr">
        <is>
          <t>High</t>
        </is>
      </c>
      <c r="L109" s="16">
        <f>IF(COUNTIF(M109:M109,"Fail")&gt;0,"Fail",IF(COUNTIF(M109:M109,"Blocked")&gt;0,"Blocked",IF(COUNTIF(M109:M109,"NI")&gt;0,"NI",IF(COUNTIF(M109:M109,"Pass")&gt;0,"Pass",""))))</f>
        <v/>
      </c>
      <c r="M109" s="17" t="n"/>
      <c r="N109" s="18" t="n"/>
      <c r="O109" s="18" t="n"/>
      <c r="P109" s="19" t="n"/>
      <c r="Q109" s="10" t="inlineStr">
        <is>
          <t>TC-GAT-014</t>
        </is>
      </c>
      <c r="R109" s="10" t="inlineStr">
        <is>
          <t>금칙</t>
        </is>
      </c>
      <c r="S109" s="10" t="inlineStr">
        <is>
          <t>미성년</t>
        </is>
      </c>
    </row>
    <row r="110" ht="30" customHeight="1">
      <c r="B110" s="10">
        <f>ROW()-9</f>
        <v/>
      </c>
      <c r="C110" s="53" t="inlineStr">
        <is>
          <t>홈 화면</t>
        </is>
      </c>
      <c r="D110" s="79" t="inlineStr">
        <is>
          <t>언세이프 게이트</t>
        </is>
      </c>
      <c r="E110" s="82" t="inlineStr">
        <is>
          <t>성인 인증 언세이프 정상 노출</t>
        </is>
      </c>
      <c r="F110" s="14" t="inlineStr">
        <is>
          <t>계정 A(성인 인증)로 로그인한 상태</t>
        </is>
      </c>
      <c r="G110" s="15" t="n">
        <v>1</v>
      </c>
      <c r="H110" s="14" t="inlineStr">
        <is>
          <t>홈 화면의 언세이프 작품 카드 확인한다</t>
        </is>
      </c>
      <c r="I110" s="14" t="inlineStr">
        <is>
          <t>카드가 블러 없이 노출된다</t>
        </is>
      </c>
      <c r="J110" s="10" t="inlineStr">
        <is>
          <t>공통</t>
        </is>
      </c>
      <c r="K110" s="10" t="inlineStr">
        <is>
          <t>High</t>
        </is>
      </c>
      <c r="L110" s="16">
        <f>IF(COUNTIF(M110:M110,"Fail")&gt;0,"Fail",IF(COUNTIF(M110:M110,"Blocked")&gt;0,"Blocked",IF(COUNTIF(M110:M110,"NI")&gt;0,"NI",IF(COUNTIF(M110:M110,"Pass")&gt;0,"Pass",""))))</f>
        <v/>
      </c>
      <c r="M110" s="17" t="n"/>
      <c r="N110" s="18" t="n"/>
      <c r="O110" s="18" t="n"/>
      <c r="P110" s="14" t="inlineStr">
        <is>
          <t>게이트가 과하게 걸리는 것도 결함이라 통과를 따로 세웁니다(positive 케이스). 차단 셋과 짝으로 읽습니다</t>
        </is>
      </c>
      <c r="Q110" s="10" t="inlineStr">
        <is>
          <t>TC-GAT-015</t>
        </is>
      </c>
      <c r="R110" s="10" t="inlineStr">
        <is>
          <t>결정적</t>
        </is>
      </c>
      <c r="S110" s="10" t="inlineStr">
        <is>
          <t>성인 인증</t>
        </is>
      </c>
    </row>
    <row r="111" ht="30" customHeight="1">
      <c r="B111" s="10">
        <f>ROW()-9</f>
        <v/>
      </c>
      <c r="C111" s="83" t="inlineStr">
        <is>
          <t>캐릭터 페이지</t>
        </is>
      </c>
      <c r="D111" s="84" t="inlineStr">
        <is>
          <t>작품·캐릭터 층</t>
        </is>
      </c>
      <c r="E111" s="85" t="inlineStr">
        <is>
          <t>페이지 진입과 2층 구성</t>
        </is>
      </c>
      <c r="F111" s="14" t="inlineStr">
        <is>
          <t>계정 A로 로그인해 홈 화면을 연 상태</t>
        </is>
      </c>
      <c r="G111" s="15" t="n">
        <v>1</v>
      </c>
      <c r="H111" s="14" t="inlineStr">
        <is>
          <t>캐릭터 카드 선택한다</t>
        </is>
      </c>
      <c r="I111" s="14" t="inlineStr">
        <is>
          <t>캐릭터 페이지 노출된다</t>
        </is>
      </c>
      <c r="J111" s="10" t="inlineStr">
        <is>
          <t>공통</t>
        </is>
      </c>
      <c r="K111" s="10" t="inlineStr">
        <is>
          <t>High</t>
        </is>
      </c>
      <c r="L111" s="16">
        <f>IF(COUNTIF(M111:M111,"Fail")&gt;0,"Fail",IF(COUNTIF(M111:M111,"Blocked")&gt;0,"Blocked",IF(COUNTIF(M111:M111,"NI")&gt;0,"NI",IF(COUNTIF(M111:M111,"Pass")&gt;0,"Pass",""))))</f>
        <v/>
      </c>
      <c r="M111" s="17" t="n"/>
      <c r="N111" s="18" t="n"/>
      <c r="O111" s="18" t="n"/>
      <c r="P111" s="14" t="inlineStr">
        <is>
          <t>카드에서 페이지로 넘어가는 진입 검증은 출발 화면인 홈이 아니라 여기 소속입니다 — 트리거가 카드 선택이라 홈 소속으로 볼 여지가 있으나, 검증 대상이 페이지 구성이라 페이지에 둡니다</t>
        </is>
      </c>
      <c r="Q111" s="10" t="inlineStr">
        <is>
          <t>TC-DSC-033</t>
        </is>
      </c>
      <c r="R111" s="10" t="inlineStr">
        <is>
          <t>결정적</t>
        </is>
      </c>
      <c r="S111" s="10" t="inlineStr">
        <is>
          <t>성인 인증</t>
        </is>
      </c>
    </row>
    <row r="112" ht="30" customHeight="1">
      <c r="B112" s="10">
        <f>ROW()-9</f>
        <v/>
      </c>
      <c r="C112" s="83" t="inlineStr">
        <is>
          <t>캐릭터 페이지</t>
        </is>
      </c>
      <c r="D112" s="84" t="inlineStr">
        <is>
          <t>작품·캐릭터 층</t>
        </is>
      </c>
      <c r="E112" s="85" t="inlineStr">
        <is>
          <t>페이지 진입과 2층 구성</t>
        </is>
      </c>
      <c r="F112" s="14" t="inlineStr"/>
      <c r="G112" s="15" t="n">
        <v>2</v>
      </c>
      <c r="H112" s="14" t="inlineStr">
        <is>
          <t>페이지 구성 확인한다</t>
        </is>
      </c>
      <c r="I112" s="14" t="inlineStr">
        <is>
          <t>작품 층(제목·보조 설명·카테고리 칩·스토리 블록) 노출된다</t>
        </is>
      </c>
      <c r="J112" s="10" t="inlineStr">
        <is>
          <t>공통</t>
        </is>
      </c>
      <c r="K112" s="10" t="inlineStr">
        <is>
          <t>High</t>
        </is>
      </c>
      <c r="L112" s="16">
        <f>IF(COUNTIF(M112:M112,"Fail")&gt;0,"Fail",IF(COUNTIF(M112:M112,"Blocked")&gt;0,"Blocked",IF(COUNTIF(M112:M112,"NI")&gt;0,"NI",IF(COUNTIF(M112:M112,"Pass")&gt;0,"Pass",""))))</f>
        <v/>
      </c>
      <c r="M112" s="17" t="n"/>
      <c r="N112" s="18" t="n"/>
      <c r="O112" s="18" t="n"/>
      <c r="P112" s="14" t="n"/>
      <c r="Q112" s="10" t="inlineStr">
        <is>
          <t>TC-DSC-033</t>
        </is>
      </c>
      <c r="R112" s="10" t="inlineStr">
        <is>
          <t>결정적</t>
        </is>
      </c>
      <c r="S112" s="10" t="inlineStr">
        <is>
          <t>성인 인증</t>
        </is>
      </c>
    </row>
    <row r="113" ht="30" customHeight="1">
      <c r="B113" s="10">
        <f>ROW()-9</f>
        <v/>
      </c>
      <c r="C113" s="83" t="inlineStr">
        <is>
          <t>캐릭터 페이지</t>
        </is>
      </c>
      <c r="D113" s="84" t="inlineStr">
        <is>
          <t>작품·캐릭터 층</t>
        </is>
      </c>
      <c r="E113" s="85" t="inlineStr">
        <is>
          <t>페이지 진입과 2층 구성</t>
        </is>
      </c>
      <c r="F113" s="14" t="n"/>
      <c r="G113" s="19" t="n"/>
      <c r="H113" s="19" t="n"/>
      <c r="I113" s="14" t="inlineStr">
        <is>
          <t>캐릭터 층(이름·한 줄 설명·상세 설명·시작 상황·첫 메시지)이 구분선으로 나뉘어 노출된다</t>
        </is>
      </c>
      <c r="J113" s="10" t="inlineStr">
        <is>
          <t>공통</t>
        </is>
      </c>
      <c r="K113" s="10" t="inlineStr">
        <is>
          <t>High</t>
        </is>
      </c>
      <c r="L113" s="16">
        <f>IF(COUNTIF(M113:M113,"Fail")&gt;0,"Fail",IF(COUNTIF(M113:M113,"Blocked")&gt;0,"Blocked",IF(COUNTIF(M113:M113,"NI")&gt;0,"NI",IF(COUNTIF(M113:M113,"Pass")&gt;0,"Pass",""))))</f>
        <v/>
      </c>
      <c r="M113" s="17" t="n"/>
      <c r="N113" s="18" t="n"/>
      <c r="O113" s="18" t="n"/>
      <c r="P113" s="19" t="n"/>
      <c r="Q113" s="10" t="inlineStr">
        <is>
          <t>TC-DSC-033</t>
        </is>
      </c>
      <c r="R113" s="10" t="inlineStr">
        <is>
          <t>결정적</t>
        </is>
      </c>
      <c r="S113" s="10" t="inlineStr">
        <is>
          <t>성인 인증</t>
        </is>
      </c>
    </row>
    <row r="114" ht="30" customHeight="1">
      <c r="B114" s="10">
        <f>ROW()-9</f>
        <v/>
      </c>
      <c r="C114" s="83" t="inlineStr">
        <is>
          <t>캐릭터 페이지</t>
        </is>
      </c>
      <c r="D114" s="84" t="inlineStr">
        <is>
          <t>작품·캐릭터 층</t>
        </is>
      </c>
      <c r="E114" s="86" t="inlineStr">
        <is>
          <t>제작자 표시만</t>
        </is>
      </c>
      <c r="F114" s="14" t="inlineStr">
        <is>
          <t>계정 A로 로그인해 캐릭터 페이지를 연 상태</t>
        </is>
      </c>
      <c r="G114" s="15" t="n">
        <v>1</v>
      </c>
      <c r="H114" s="14" t="inlineStr">
        <is>
          <t>제작자 영역 확인한다</t>
        </is>
      </c>
      <c r="I114" s="14" t="inlineStr">
        <is>
          <t>제작자명과 팔로우 수가 시트 값으로 노출된다</t>
        </is>
      </c>
      <c r="J114" s="10" t="inlineStr">
        <is>
          <t>공통</t>
        </is>
      </c>
      <c r="K114" s="10" t="inlineStr">
        <is>
          <t>Low</t>
        </is>
      </c>
      <c r="L114" s="16">
        <f>IF(COUNTIF(M114:M114,"Fail")&gt;0,"Fail",IF(COUNTIF(M114:M114,"Blocked")&gt;0,"Blocked",IF(COUNTIF(M114:M114,"NI")&gt;0,"NI",IF(COUNTIF(M114:M114,"Pass")&gt;0,"Pass",""))))</f>
        <v/>
      </c>
      <c r="M114" s="17" t="n"/>
      <c r="N114" s="18" t="n"/>
      <c r="O114" s="18" t="n"/>
      <c r="P114" s="14" t="inlineStr">
        <is>
          <t>소셜은 제외 영역이라 표시만 합니다. 값은 데이터 시트가 정합니다</t>
        </is>
      </c>
      <c r="Q114" s="10" t="inlineStr">
        <is>
          <t>TC-DSC-034</t>
        </is>
      </c>
      <c r="R114" s="10" t="inlineStr">
        <is>
          <t>결정적</t>
        </is>
      </c>
      <c r="S114" s="10" t="inlineStr">
        <is>
          <t>성인 인증</t>
        </is>
      </c>
    </row>
    <row r="115" ht="30" customHeight="1">
      <c r="B115" s="10">
        <f>ROW()-9</f>
        <v/>
      </c>
      <c r="C115" s="83" t="inlineStr">
        <is>
          <t>캐릭터 페이지</t>
        </is>
      </c>
      <c r="D115" s="84" t="inlineStr">
        <is>
          <t>작품·캐릭터 층</t>
        </is>
      </c>
      <c r="E115" s="86" t="inlineStr">
        <is>
          <t>제작자 표시만</t>
        </is>
      </c>
      <c r="F115" s="19" t="n"/>
      <c r="G115" s="19" t="n"/>
      <c r="H115" s="19" t="n"/>
      <c r="I115" s="14" t="inlineStr">
        <is>
          <t>팔로우 동작이 제공되지 않는다</t>
        </is>
      </c>
      <c r="J115" s="10" t="inlineStr">
        <is>
          <t>공통</t>
        </is>
      </c>
      <c r="K115" s="10" t="inlineStr">
        <is>
          <t>Low</t>
        </is>
      </c>
      <c r="L115" s="16">
        <f>IF(COUNTIF(M115:M115,"Fail")&gt;0,"Fail",IF(COUNTIF(M115:M115,"Blocked")&gt;0,"Blocked",IF(COUNTIF(M115:M115,"NI")&gt;0,"NI",IF(COUNTIF(M115:M115,"Pass")&gt;0,"Pass",""))))</f>
        <v/>
      </c>
      <c r="M115" s="17" t="n"/>
      <c r="N115" s="18" t="n"/>
      <c r="O115" s="18" t="n"/>
      <c r="P115" s="19" t="n"/>
      <c r="Q115" s="10" t="inlineStr">
        <is>
          <t>TC-DSC-034</t>
        </is>
      </c>
      <c r="R115" s="10" t="inlineStr">
        <is>
          <t>결정적</t>
        </is>
      </c>
      <c r="S115" s="10" t="inlineStr">
        <is>
          <t>성인 인증</t>
        </is>
      </c>
    </row>
    <row r="116" ht="30" customHeight="1">
      <c r="B116" s="10">
        <f>ROW()-9</f>
        <v/>
      </c>
      <c r="C116" s="83" t="inlineStr">
        <is>
          <t>캐릭터 페이지</t>
        </is>
      </c>
      <c r="D116" s="84" t="inlineStr">
        <is>
          <t>작품·캐릭터 층</t>
        </is>
      </c>
      <c r="E116" s="87" t="inlineStr">
        <is>
          <t>현황 표시 정합</t>
        </is>
      </c>
      <c r="F116" s="14" t="inlineStr">
        <is>
          <t>계정 A로 로그인해 캐릭터 페이지를 연 상태</t>
        </is>
      </c>
      <c r="G116" s="15" t="n">
        <v>1</v>
      </c>
      <c r="H116" s="14" t="inlineStr">
        <is>
          <t>현황 영역 확인한다</t>
        </is>
      </c>
      <c r="I116" s="14" t="inlineStr">
        <is>
          <t>이용수·좋아요 수·팔로우 수가 시트·계정 상태와 일치한다</t>
        </is>
      </c>
      <c r="J116" s="10" t="inlineStr">
        <is>
          <t>공통</t>
        </is>
      </c>
      <c r="K116" s="10" t="inlineStr">
        <is>
          <t>Medium</t>
        </is>
      </c>
      <c r="L116" s="16">
        <f>IF(COUNTIF(M116:M116,"Fail")&gt;0,"Fail",IF(COUNTIF(M116:M116,"Blocked")&gt;0,"Blocked",IF(COUNTIF(M116:M116,"NI")&gt;0,"NI",IF(COUNTIF(M116:M116,"Pass")&gt;0,"Pass",""))))</f>
        <v/>
      </c>
      <c r="M116" s="17" t="n"/>
      <c r="N116" s="18" t="n"/>
      <c r="O116" s="18" t="n"/>
      <c r="P116" s="14" t="inlineStr">
        <is>
          <t>좋아요 수는 시트 기본값에 계정의 토글이 더해진 값입니다(§8-7) — 내가 누른 좋아요가 반영돼야 합니다</t>
        </is>
      </c>
      <c r="Q116" s="10" t="inlineStr">
        <is>
          <t>TC-DSC-035</t>
        </is>
      </c>
      <c r="R116" s="10" t="inlineStr">
        <is>
          <t>결정적</t>
        </is>
      </c>
      <c r="S116" s="10" t="inlineStr">
        <is>
          <t>성인 인증</t>
        </is>
      </c>
    </row>
    <row r="117" ht="30" customHeight="1">
      <c r="B117" s="10">
        <f>ROW()-9</f>
        <v/>
      </c>
      <c r="C117" s="83" t="inlineStr">
        <is>
          <t>캐릭터 페이지</t>
        </is>
      </c>
      <c r="D117" s="84" t="inlineStr">
        <is>
          <t>작품·캐릭터 층</t>
        </is>
      </c>
      <c r="E117" s="88" t="inlineStr">
        <is>
          <t>출시일·최종 업데이트 표기</t>
        </is>
      </c>
      <c r="F117" s="14" t="inlineStr">
        <is>
          <t>계정 A로 로그인해 캐릭터 페이지를 연 상태</t>
        </is>
      </c>
      <c r="G117" s="15" t="n">
        <v>1</v>
      </c>
      <c r="H117" s="14" t="inlineStr">
        <is>
          <t>출시일 영역 확인한다</t>
        </is>
      </c>
      <c r="I117" s="14" t="inlineStr">
        <is>
          <t>출시일과 최종 업데이트일이 노출된다</t>
        </is>
      </c>
      <c r="J117" s="10" t="inlineStr">
        <is>
          <t>공통</t>
        </is>
      </c>
      <c r="K117" s="10" t="inlineStr">
        <is>
          <t>Low</t>
        </is>
      </c>
      <c r="L117" s="16">
        <f>IF(COUNTIF(M117:M117,"Fail")&gt;0,"Fail",IF(COUNTIF(M117:M117,"Blocked")&gt;0,"Blocked",IF(COUNTIF(M117:M117,"NI")&gt;0,"NI",IF(COUNTIF(M117:M117,"Pass")&gt;0,"Pass",""))))</f>
        <v/>
      </c>
      <c r="M117" s="17" t="n"/>
      <c r="N117" s="18" t="n"/>
      <c r="O117" s="18" t="n"/>
      <c r="P117" s="14" t="inlineStr">
        <is>
          <t>저장은 숫자로 하고 표시할 때 v를 붙입니다(§8-8). 값은 디버그 콘솔 표의 버전 칸에서 옮깁니다</t>
        </is>
      </c>
      <c r="Q117" s="10" t="inlineStr">
        <is>
          <t>TC-DSC-036</t>
        </is>
      </c>
      <c r="R117" s="10" t="inlineStr">
        <is>
          <t>결정적</t>
        </is>
      </c>
      <c r="S117" s="10" t="inlineStr">
        <is>
          <t>성인 인증</t>
        </is>
      </c>
    </row>
    <row r="118" ht="30" customHeight="1">
      <c r="B118" s="10">
        <f>ROW()-9</f>
        <v/>
      </c>
      <c r="C118" s="83" t="inlineStr">
        <is>
          <t>캐릭터 페이지</t>
        </is>
      </c>
      <c r="D118" s="84" t="inlineStr">
        <is>
          <t>작품·캐릭터 층</t>
        </is>
      </c>
      <c r="E118" s="88" t="inlineStr">
        <is>
          <t>출시일·최종 업데이트 표기</t>
        </is>
      </c>
      <c r="F118" s="19" t="n"/>
      <c r="G118" s="19" t="n"/>
      <c r="H118" s="19" t="n"/>
      <c r="I118" s="14" t="inlineStr">
        <is>
          <t>버전이 v 접두와 함께 노출된다</t>
        </is>
      </c>
      <c r="J118" s="10" t="inlineStr">
        <is>
          <t>공통</t>
        </is>
      </c>
      <c r="K118" s="10" t="inlineStr">
        <is>
          <t>Low</t>
        </is>
      </c>
      <c r="L118" s="16">
        <f>IF(COUNTIF(M118:M118,"Fail")&gt;0,"Fail",IF(COUNTIF(M118:M118,"Blocked")&gt;0,"Blocked",IF(COUNTIF(M118:M118,"NI")&gt;0,"NI",IF(COUNTIF(M118:M118,"Pass")&gt;0,"Pass",""))))</f>
        <v/>
      </c>
      <c r="M118" s="17" t="n"/>
      <c r="N118" s="18" t="n"/>
      <c r="O118" s="18" t="n"/>
      <c r="P118" s="19" t="n"/>
      <c r="Q118" s="10" t="inlineStr">
        <is>
          <t>TC-DSC-036</t>
        </is>
      </c>
      <c r="R118" s="10" t="inlineStr">
        <is>
          <t>결정적</t>
        </is>
      </c>
      <c r="S118" s="10" t="inlineStr">
        <is>
          <t>성인 인증</t>
        </is>
      </c>
    </row>
    <row r="119" ht="30" customHeight="1">
      <c r="B119" s="10">
        <f>ROW()-9</f>
        <v/>
      </c>
      <c r="C119" s="83" t="inlineStr">
        <is>
          <t>캐릭터 페이지</t>
        </is>
      </c>
      <c r="D119" s="84" t="inlineStr">
        <is>
          <t>작품·캐릭터 층</t>
        </is>
      </c>
      <c r="E119" s="23" t="inlineStr">
        <is>
          <t>버전 입력 정규화</t>
        </is>
      </c>
      <c r="F119" s="14" t="inlineStr">
        <is>
          <t>계정 A로 로그인하고 디버그 콘솔의 버전 칸에 v2.5a를 입력한 상태</t>
        </is>
      </c>
      <c r="G119" s="15" t="n">
        <v>1</v>
      </c>
      <c r="H119" s="14" t="inlineStr">
        <is>
          <t>저장하고 캐릭터 페이지 확인한다</t>
        </is>
      </c>
      <c r="I119" s="14" t="inlineStr">
        <is>
          <t>입력에서 숫자와 점만 남는다</t>
        </is>
      </c>
      <c r="J119" s="10" t="inlineStr">
        <is>
          <t>공통</t>
        </is>
      </c>
      <c r="K119" s="10" t="inlineStr">
        <is>
          <t>Low</t>
        </is>
      </c>
      <c r="L119" s="16">
        <f>IF(COUNTIF(M119:M119,"Fail")&gt;0,"Fail",IF(COUNTIF(M119:M119,"Blocked")&gt;0,"Blocked",IF(COUNTIF(M119:M119,"NI")&gt;0,"NI",IF(COUNTIF(M119:M119,"Pass")&gt;0,"Pass",""))))</f>
        <v/>
      </c>
      <c r="M119" s="17" t="n"/>
      <c r="N119" s="18" t="n"/>
      <c r="O119" s="18" t="n"/>
      <c r="P119" s="14" t="inlineStr">
        <is>
          <t>v를 직접 적어도 접두가 겹치지 않는 것이 기대값입니다. 입력 단계에서 걸러집니다</t>
        </is>
      </c>
      <c r="Q119" s="10" t="inlineStr">
        <is>
          <t>TC-DSC-037</t>
        </is>
      </c>
      <c r="R119" s="10" t="inlineStr">
        <is>
          <t>결정적</t>
        </is>
      </c>
      <c r="S119" s="10" t="inlineStr">
        <is>
          <t>성인 인증</t>
        </is>
      </c>
    </row>
    <row r="120" ht="30" customHeight="1">
      <c r="B120" s="10">
        <f>ROW()-9</f>
        <v/>
      </c>
      <c r="C120" s="83" t="inlineStr">
        <is>
          <t>캐릭터 페이지</t>
        </is>
      </c>
      <c r="D120" s="84" t="inlineStr">
        <is>
          <t>작품·캐릭터 층</t>
        </is>
      </c>
      <c r="E120" s="23" t="inlineStr">
        <is>
          <t>버전 입력 정규화</t>
        </is>
      </c>
      <c r="F120" s="19" t="n"/>
      <c r="G120" s="19" t="n"/>
      <c r="H120" s="19" t="n"/>
      <c r="I120" s="14" t="inlineStr">
        <is>
          <t>화면에 v2.5로 노출된다</t>
        </is>
      </c>
      <c r="J120" s="10" t="inlineStr">
        <is>
          <t>공통</t>
        </is>
      </c>
      <c r="K120" s="10" t="inlineStr">
        <is>
          <t>Low</t>
        </is>
      </c>
      <c r="L120" s="16">
        <f>IF(COUNTIF(M120:M120,"Fail")&gt;0,"Fail",IF(COUNTIF(M120:M120,"Blocked")&gt;0,"Blocked",IF(COUNTIF(M120:M120,"NI")&gt;0,"NI",IF(COUNTIF(M120:M120,"Pass")&gt;0,"Pass",""))))</f>
        <v/>
      </c>
      <c r="M120" s="17" t="n"/>
      <c r="N120" s="18" t="n"/>
      <c r="O120" s="18" t="n"/>
      <c r="P120" s="19" t="n"/>
      <c r="Q120" s="10" t="inlineStr">
        <is>
          <t>TC-DSC-037</t>
        </is>
      </c>
      <c r="R120" s="10" t="inlineStr">
        <is>
          <t>결정적</t>
        </is>
      </c>
      <c r="S120" s="10" t="inlineStr">
        <is>
          <t>성인 인증</t>
        </is>
      </c>
    </row>
    <row r="121" ht="30" customHeight="1">
      <c r="B121" s="10">
        <f>ROW()-9</f>
        <v/>
      </c>
      <c r="C121" s="83" t="inlineStr">
        <is>
          <t>캐릭터 페이지</t>
        </is>
      </c>
      <c r="D121" s="89" t="inlineStr">
        <is>
          <t>그 외 작품 추천</t>
        </is>
      </c>
      <c r="E121" s="90" t="inlineStr">
        <is>
          <t>선정식과 정렬</t>
        </is>
      </c>
      <c r="F121" s="14" t="inlineStr">
        <is>
          <t>계정 A로 로그인해 캐릭터 페이지를 연 상태</t>
        </is>
      </c>
      <c r="G121" s="15" t="n">
        <v>1</v>
      </c>
      <c r="H121" s="14" t="inlineStr">
        <is>
          <t>그 외 작품 섹션 확인한다</t>
        </is>
      </c>
      <c r="I121" s="14" t="inlineStr">
        <is>
          <t>페이지 카테고리를 하나라도 공유하는 작품만 노출된다</t>
        </is>
      </c>
      <c r="J121" s="10" t="inlineStr">
        <is>
          <t>공통</t>
        </is>
      </c>
      <c r="K121" s="10" t="inlineStr">
        <is>
          <t>Low</t>
        </is>
      </c>
      <c r="L121" s="16">
        <f>IF(COUNTIF(M121:M121,"Fail")&gt;0,"Fail",IF(COUNTIF(M121:M121,"Blocked")&gt;0,"Blocked",IF(COUNTIF(M121:M121,"NI")&gt;0,"NI",IF(COUNTIF(M121:M121,"Pass")&gt;0,"Pass",""))))</f>
        <v/>
      </c>
      <c r="M121" s="17" t="n"/>
      <c r="N121" s="18" t="n"/>
      <c r="O121" s="18" t="n"/>
      <c r="P121" s="14" t="inlineStr">
        <is>
          <t>임계 10·상한 5가 확정값이며 디버그 콘솔에서 옮긴 값은 경계를 만드는 수단이지 기대값의 근거가 아닙니다(§8-8). 자기 자신은 후보에서 빠집니다</t>
        </is>
      </c>
      <c r="Q121" s="10" t="inlineStr">
        <is>
          <t>TC-DSC-038</t>
        </is>
      </c>
      <c r="R121" s="10" t="inlineStr">
        <is>
          <t>결정적</t>
        </is>
      </c>
      <c r="S121" s="10" t="inlineStr">
        <is>
          <t>성인 인증</t>
        </is>
      </c>
    </row>
    <row r="122" ht="30" customHeight="1">
      <c r="B122" s="10">
        <f>ROW()-9</f>
        <v/>
      </c>
      <c r="C122" s="83" t="inlineStr">
        <is>
          <t>캐릭터 페이지</t>
        </is>
      </c>
      <c r="D122" s="89" t="inlineStr">
        <is>
          <t>그 외 작품 추천</t>
        </is>
      </c>
      <c r="E122" s="90" t="inlineStr">
        <is>
          <t>선정식과 정렬</t>
        </is>
      </c>
      <c r="F122" s="50" t="n"/>
      <c r="G122" s="50" t="n"/>
      <c r="H122" s="50" t="n"/>
      <c r="I122" s="14" t="inlineStr">
        <is>
          <t>좋아요 10개 이상인 작품만 노출된다</t>
        </is>
      </c>
      <c r="J122" s="10" t="inlineStr">
        <is>
          <t>공통</t>
        </is>
      </c>
      <c r="K122" s="10" t="inlineStr">
        <is>
          <t>Low</t>
        </is>
      </c>
      <c r="L122" s="16">
        <f>IF(COUNTIF(M122:M122,"Fail")&gt;0,"Fail",IF(COUNTIF(M122:M122,"Blocked")&gt;0,"Blocked",IF(COUNTIF(M122:M122,"NI")&gt;0,"NI",IF(COUNTIF(M122:M122,"Pass")&gt;0,"Pass",""))))</f>
        <v/>
      </c>
      <c r="M122" s="17" t="n"/>
      <c r="N122" s="18" t="n"/>
      <c r="O122" s="18" t="n"/>
      <c r="P122" s="50" t="n"/>
      <c r="Q122" s="10" t="inlineStr">
        <is>
          <t>TC-DSC-038</t>
        </is>
      </c>
      <c r="R122" s="10" t="inlineStr">
        <is>
          <t>결정적</t>
        </is>
      </c>
      <c r="S122" s="10" t="inlineStr">
        <is>
          <t>성인 인증</t>
        </is>
      </c>
    </row>
    <row r="123" ht="30" customHeight="1">
      <c r="B123" s="10">
        <f>ROW()-9</f>
        <v/>
      </c>
      <c r="C123" s="83" t="inlineStr">
        <is>
          <t>캐릭터 페이지</t>
        </is>
      </c>
      <c r="D123" s="89" t="inlineStr">
        <is>
          <t>그 외 작품 추천</t>
        </is>
      </c>
      <c r="E123" s="90" t="inlineStr">
        <is>
          <t>선정식과 정렬</t>
        </is>
      </c>
      <c r="F123" s="19" t="n"/>
      <c r="G123" s="19" t="n"/>
      <c r="H123" s="19" t="n"/>
      <c r="I123" s="14" t="inlineStr">
        <is>
          <t>최대 5개까지 노출된다</t>
        </is>
      </c>
      <c r="J123" s="10" t="inlineStr">
        <is>
          <t>공통</t>
        </is>
      </c>
      <c r="K123" s="10" t="inlineStr">
        <is>
          <t>Low</t>
        </is>
      </c>
      <c r="L123" s="16">
        <f>IF(COUNTIF(M123:M123,"Fail")&gt;0,"Fail",IF(COUNTIF(M123:M123,"Blocked")&gt;0,"Blocked",IF(COUNTIF(M123:M123,"NI")&gt;0,"NI",IF(COUNTIF(M123:M123,"Pass")&gt;0,"Pass",""))))</f>
        <v/>
      </c>
      <c r="M123" s="17" t="n"/>
      <c r="N123" s="18" t="n"/>
      <c r="O123" s="18" t="n"/>
      <c r="P123" s="19" t="n"/>
      <c r="Q123" s="10" t="inlineStr">
        <is>
          <t>TC-DSC-038</t>
        </is>
      </c>
      <c r="R123" s="10" t="inlineStr">
        <is>
          <t>결정적</t>
        </is>
      </c>
      <c r="S123" s="10" t="inlineStr">
        <is>
          <t>성인 인증</t>
        </is>
      </c>
    </row>
    <row r="124" ht="30" customHeight="1">
      <c r="B124" s="10">
        <f>ROW()-9</f>
        <v/>
      </c>
      <c r="C124" s="83" t="inlineStr">
        <is>
          <t>캐릭터 페이지</t>
        </is>
      </c>
      <c r="D124" s="89" t="inlineStr">
        <is>
          <t>그 외 작품 추천</t>
        </is>
      </c>
      <c r="E124" s="91" t="inlineStr">
        <is>
          <t>후보 0건 안내</t>
        </is>
      </c>
      <c r="F124" s="14" t="inlineStr">
        <is>
          <t>계정 A로 로그인하고 디버그 콘솔에서 좋아요 임계를 후보가 없을 만큼 올린 상태</t>
        </is>
      </c>
      <c r="G124" s="15" t="n">
        <v>1</v>
      </c>
      <c r="H124" s="14" t="inlineStr">
        <is>
          <t>그 외 작품 섹션 확인한다</t>
        </is>
      </c>
      <c r="I124" s="14" t="inlineStr">
        <is>
          <t>관련 추천 작품이 없다는 안내 노출된다</t>
        </is>
      </c>
      <c r="J124" s="10" t="inlineStr">
        <is>
          <t>공통</t>
        </is>
      </c>
      <c r="K124" s="10" t="inlineStr">
        <is>
          <t>Low</t>
        </is>
      </c>
      <c r="L124" s="16">
        <f>IF(COUNTIF(M124:M124,"Fail")&gt;0,"Fail",IF(COUNTIF(M124:M124,"Blocked")&gt;0,"Blocked",IF(COUNTIF(M124:M124,"NI")&gt;0,"NI",IF(COUNTIF(M124:M124,"Pass")&gt;0,"Pass",""))))</f>
        <v/>
      </c>
      <c r="M124" s="17" t="n"/>
      <c r="N124" s="18" t="n"/>
      <c r="O124" s="18" t="n"/>
      <c r="P124" s="14" t="inlineStr">
        <is>
          <t>섹션을 감추면 안 뜬 것과 없는 것이 구분되지 않아 안내를 남깁니다. 기본 데이터에서 자주 나오는 화면입니다</t>
        </is>
      </c>
      <c r="Q124" s="10" t="inlineStr">
        <is>
          <t>TC-DSC-039</t>
        </is>
      </c>
      <c r="R124" s="10" t="inlineStr">
        <is>
          <t>결정적</t>
        </is>
      </c>
      <c r="S124" s="10" t="inlineStr">
        <is>
          <t>성인 인증</t>
        </is>
      </c>
    </row>
    <row r="125" ht="30" customHeight="1">
      <c r="B125" s="10">
        <f>ROW()-9</f>
        <v/>
      </c>
      <c r="C125" s="83" t="inlineStr">
        <is>
          <t>캐릭터 페이지</t>
        </is>
      </c>
      <c r="D125" s="89" t="inlineStr">
        <is>
          <t>그 외 작품 추천</t>
        </is>
      </c>
      <c r="E125" s="91" t="inlineStr">
        <is>
          <t>후보 0건 안내</t>
        </is>
      </c>
      <c r="F125" s="19" t="n"/>
      <c r="G125" s="19" t="n"/>
      <c r="H125" s="19" t="n"/>
      <c r="I125" s="14" t="inlineStr">
        <is>
          <t>그 외 작품 목록 노출되지 않는다</t>
        </is>
      </c>
      <c r="J125" s="10" t="inlineStr">
        <is>
          <t>공통</t>
        </is>
      </c>
      <c r="K125" s="10" t="inlineStr">
        <is>
          <t>Low</t>
        </is>
      </c>
      <c r="L125" s="16">
        <f>IF(COUNTIF(M125:M125,"Fail")&gt;0,"Fail",IF(COUNTIF(M125:M125,"Blocked")&gt;0,"Blocked",IF(COUNTIF(M125:M125,"NI")&gt;0,"NI",IF(COUNTIF(M125:M125,"Pass")&gt;0,"Pass",""))))</f>
        <v/>
      </c>
      <c r="M125" s="17" t="n"/>
      <c r="N125" s="18" t="n"/>
      <c r="O125" s="18" t="n"/>
      <c r="P125" s="19" t="n"/>
      <c r="Q125" s="10" t="inlineStr">
        <is>
          <t>TC-DSC-039</t>
        </is>
      </c>
      <c r="R125" s="10" t="inlineStr">
        <is>
          <t>결정적</t>
        </is>
      </c>
      <c r="S125" s="10" t="inlineStr">
        <is>
          <t>성인 인증</t>
        </is>
      </c>
    </row>
    <row r="126" ht="30" customHeight="1">
      <c r="B126" s="10">
        <f>ROW()-9</f>
        <v/>
      </c>
      <c r="C126" s="83" t="inlineStr">
        <is>
          <t>캐릭터 페이지</t>
        </is>
      </c>
      <c r="D126" s="84" t="inlineStr">
        <is>
          <t>작품·캐릭터 층</t>
        </is>
      </c>
      <c r="E126" s="92" t="inlineStr">
        <is>
          <t>시작 상황 표시만</t>
        </is>
      </c>
      <c r="F126" s="14" t="inlineStr">
        <is>
          <t>계정 A로 로그인해 캐릭터 페이지를 연 상태</t>
        </is>
      </c>
      <c r="G126" s="15" t="n">
        <v>1</v>
      </c>
      <c r="H126" s="14" t="inlineStr">
        <is>
          <t>시작 상황 영역 확인한다</t>
        </is>
      </c>
      <c r="I126" s="14" t="inlineStr">
        <is>
          <t>제작자가 정한 시작 상황이 노출된다</t>
        </is>
      </c>
      <c r="J126" s="10" t="inlineStr">
        <is>
          <t>공통</t>
        </is>
      </c>
      <c r="K126" s="10" t="inlineStr">
        <is>
          <t>High</t>
        </is>
      </c>
      <c r="L126" s="16">
        <f>IF(COUNTIF(M126:M126,"Fail")&gt;0,"Fail",IF(COUNTIF(M126:M126,"Blocked")&gt;0,"Blocked",IF(COUNTIF(M126:M126,"NI")&gt;0,"NI",IF(COUNTIF(M126:M126,"Pass")&gt;0,"Pass",""))))</f>
        <v/>
      </c>
      <c r="M126" s="17" t="n"/>
      <c r="N126" s="18" t="n"/>
      <c r="O126" s="18" t="n"/>
      <c r="P126" s="14" t="inlineStr">
        <is>
          <t>캐릭터당 하나이며 그 상황으로 대화가 시작됩니다. 그 id가 mock 세트의 시나리오 좌표입니다</t>
        </is>
      </c>
      <c r="Q126" s="10" t="inlineStr">
        <is>
          <t>TC-DSC-040</t>
        </is>
      </c>
      <c r="R126" s="10" t="inlineStr">
        <is>
          <t>결정적</t>
        </is>
      </c>
      <c r="S126" s="10" t="inlineStr">
        <is>
          <t>성인 인증</t>
        </is>
      </c>
    </row>
    <row r="127" ht="30" customHeight="1">
      <c r="B127" s="10">
        <f>ROW()-9</f>
        <v/>
      </c>
      <c r="C127" s="83" t="inlineStr">
        <is>
          <t>캐릭터 페이지</t>
        </is>
      </c>
      <c r="D127" s="84" t="inlineStr">
        <is>
          <t>작품·캐릭터 층</t>
        </is>
      </c>
      <c r="E127" s="92" t="inlineStr">
        <is>
          <t>시작 상황 표시만</t>
        </is>
      </c>
      <c r="F127" s="19" t="n"/>
      <c r="G127" s="19" t="n"/>
      <c r="H127" s="19" t="n"/>
      <c r="I127" s="14" t="inlineStr">
        <is>
          <t>유저가 고르는 수단이 제공되지 않는다</t>
        </is>
      </c>
      <c r="J127" s="10" t="inlineStr">
        <is>
          <t>공통</t>
        </is>
      </c>
      <c r="K127" s="10" t="inlineStr">
        <is>
          <t>High</t>
        </is>
      </c>
      <c r="L127" s="16">
        <f>IF(COUNTIF(M127:M127,"Fail")&gt;0,"Fail",IF(COUNTIF(M127:M127,"Blocked")&gt;0,"Blocked",IF(COUNTIF(M127:M127,"NI")&gt;0,"NI",IF(COUNTIF(M127:M127,"Pass")&gt;0,"Pass",""))))</f>
        <v/>
      </c>
      <c r="M127" s="17" t="n"/>
      <c r="N127" s="18" t="n"/>
      <c r="O127" s="18" t="n"/>
      <c r="P127" s="19" t="n"/>
      <c r="Q127" s="10" t="inlineStr">
        <is>
          <t>TC-DSC-040</t>
        </is>
      </c>
      <c r="R127" s="10" t="inlineStr">
        <is>
          <t>결정적</t>
        </is>
      </c>
      <c r="S127" s="10" t="inlineStr">
        <is>
          <t>성인 인증</t>
        </is>
      </c>
    </row>
    <row r="128" ht="30" customHeight="1">
      <c r="B128" s="10">
        <f>ROW()-9</f>
        <v/>
      </c>
      <c r="C128" s="83" t="inlineStr">
        <is>
          <t>캐릭터 페이지</t>
        </is>
      </c>
      <c r="D128" s="93" t="inlineStr">
        <is>
          <t>좋아요·스크랩</t>
        </is>
      </c>
      <c r="E128" s="94" t="inlineStr">
        <is>
          <t>좋아요 토글 반영</t>
        </is>
      </c>
      <c r="F128" s="14" t="inlineStr">
        <is>
          <t>계정 A로 로그인해 캐릭터 페이지를 연 상태</t>
        </is>
      </c>
      <c r="G128" s="15" t="n">
        <v>1</v>
      </c>
      <c r="H128" s="14" t="inlineStr">
        <is>
          <t>좋아요 선택한다</t>
        </is>
      </c>
      <c r="I128" s="14" t="inlineStr">
        <is>
          <t>좋아요 상태가 켜진다</t>
        </is>
      </c>
      <c r="J128" s="10" t="inlineStr">
        <is>
          <t>공통</t>
        </is>
      </c>
      <c r="K128" s="10" t="inlineStr">
        <is>
          <t>Medium</t>
        </is>
      </c>
      <c r="L128" s="16">
        <f>IF(COUNTIF(M128:M128,"Fail")&gt;0,"Fail",IF(COUNTIF(M128:M128,"Blocked")&gt;0,"Blocked",IF(COUNTIF(M128:M128,"NI")&gt;0,"NI",IF(COUNTIF(M128:M128,"Pass")&gt;0,"Pass",""))))</f>
        <v/>
      </c>
      <c r="M128" s="17" t="n"/>
      <c r="N128" s="18" t="n"/>
      <c r="O128" s="18" t="n"/>
      <c r="P128" s="14" t="inlineStr">
        <is>
          <t>MY 활동 목록과 랭킹 좋아요 정렬에도 반영됩니다 — 그쪽 확인은 MY 탭·홈 화면 영역이 맡습니다</t>
        </is>
      </c>
      <c r="Q128" s="10" t="inlineStr">
        <is>
          <t>TC-DSC-041</t>
        </is>
      </c>
      <c r="R128" s="10" t="inlineStr">
        <is>
          <t>결정적</t>
        </is>
      </c>
      <c r="S128" s="10" t="inlineStr">
        <is>
          <t>성인 인증</t>
        </is>
      </c>
    </row>
    <row r="129" ht="30" customHeight="1">
      <c r="B129" s="10">
        <f>ROW()-9</f>
        <v/>
      </c>
      <c r="C129" s="83" t="inlineStr">
        <is>
          <t>캐릭터 페이지</t>
        </is>
      </c>
      <c r="D129" s="93" t="inlineStr">
        <is>
          <t>좋아요·스크랩</t>
        </is>
      </c>
      <c r="E129" s="94" t="inlineStr">
        <is>
          <t>좋아요 토글 반영</t>
        </is>
      </c>
      <c r="F129" s="19" t="n"/>
      <c r="G129" s="19" t="n"/>
      <c r="H129" s="19" t="n"/>
      <c r="I129" s="14" t="inlineStr">
        <is>
          <t>현황의 좋아요 수가 1 증가한다</t>
        </is>
      </c>
      <c r="J129" s="10" t="inlineStr">
        <is>
          <t>공통</t>
        </is>
      </c>
      <c r="K129" s="10" t="inlineStr">
        <is>
          <t>Medium</t>
        </is>
      </c>
      <c r="L129" s="16">
        <f>IF(COUNTIF(M129:M129,"Fail")&gt;0,"Fail",IF(COUNTIF(M129:M129,"Blocked")&gt;0,"Blocked",IF(COUNTIF(M129:M129,"NI")&gt;0,"NI",IF(COUNTIF(M129:M129,"Pass")&gt;0,"Pass",""))))</f>
        <v/>
      </c>
      <c r="M129" s="17" t="n"/>
      <c r="N129" s="18" t="n"/>
      <c r="O129" s="18" t="n"/>
      <c r="P129" s="19" t="n"/>
      <c r="Q129" s="10" t="inlineStr">
        <is>
          <t>TC-DSC-041</t>
        </is>
      </c>
      <c r="R129" s="10" t="inlineStr">
        <is>
          <t>결정적</t>
        </is>
      </c>
      <c r="S129" s="10" t="inlineStr">
        <is>
          <t>성인 인증</t>
        </is>
      </c>
    </row>
    <row r="130" ht="30" customHeight="1">
      <c r="B130" s="10">
        <f>ROW()-9</f>
        <v/>
      </c>
      <c r="C130" s="83" t="inlineStr">
        <is>
          <t>캐릭터 페이지</t>
        </is>
      </c>
      <c r="D130" s="93" t="inlineStr">
        <is>
          <t>좋아요·스크랩</t>
        </is>
      </c>
      <c r="E130" s="94" t="inlineStr">
        <is>
          <t>좋아요 토글 반영</t>
        </is>
      </c>
      <c r="F130" s="14" t="inlineStr"/>
      <c r="G130" s="15" t="n">
        <v>2</v>
      </c>
      <c r="H130" s="14" t="inlineStr">
        <is>
          <t>페이지를 다시 연다</t>
        </is>
      </c>
      <c r="I130" s="14" t="inlineStr">
        <is>
          <t>좋아요 상태가 유지된다</t>
        </is>
      </c>
      <c r="J130" s="10" t="inlineStr">
        <is>
          <t>공통</t>
        </is>
      </c>
      <c r="K130" s="10" t="inlineStr">
        <is>
          <t>Medium</t>
        </is>
      </c>
      <c r="L130" s="16">
        <f>IF(COUNTIF(M130:M130,"Fail")&gt;0,"Fail",IF(COUNTIF(M130:M130,"Blocked")&gt;0,"Blocked",IF(COUNTIF(M130:M130,"NI")&gt;0,"NI",IF(COUNTIF(M130:M130,"Pass")&gt;0,"Pass",""))))</f>
        <v/>
      </c>
      <c r="M130" s="17" t="n"/>
      <c r="N130" s="18" t="n"/>
      <c r="O130" s="18" t="n"/>
      <c r="P130" s="14" t="n"/>
      <c r="Q130" s="10" t="inlineStr">
        <is>
          <t>TC-DSC-041</t>
        </is>
      </c>
      <c r="R130" s="10" t="inlineStr">
        <is>
          <t>결정적</t>
        </is>
      </c>
      <c r="S130" s="10" t="inlineStr">
        <is>
          <t>성인 인증</t>
        </is>
      </c>
    </row>
    <row r="131" ht="30" customHeight="1">
      <c r="B131" s="10">
        <f>ROW()-9</f>
        <v/>
      </c>
      <c r="C131" s="83" t="inlineStr">
        <is>
          <t>캐릭터 페이지</t>
        </is>
      </c>
      <c r="D131" s="93" t="inlineStr">
        <is>
          <t>좋아요·스크랩</t>
        </is>
      </c>
      <c r="E131" s="95" t="inlineStr">
        <is>
          <t>스크랩 토글 반영</t>
        </is>
      </c>
      <c r="F131" s="14" t="inlineStr">
        <is>
          <t>계정 A로 로그인해 캐릭터 페이지를 연 상태</t>
        </is>
      </c>
      <c r="G131" s="15" t="n">
        <v>1</v>
      </c>
      <c r="H131" s="14" t="inlineStr">
        <is>
          <t>스크랩 선택한다</t>
        </is>
      </c>
      <c r="I131" s="14" t="inlineStr">
        <is>
          <t>스크랩 상태가 켜진다</t>
        </is>
      </c>
      <c r="J131" s="10" t="inlineStr">
        <is>
          <t>공통</t>
        </is>
      </c>
      <c r="K131" s="10" t="inlineStr">
        <is>
          <t>Medium</t>
        </is>
      </c>
      <c r="L131" s="16">
        <f>IF(COUNTIF(M131:M131,"Fail")&gt;0,"Fail",IF(COUNTIF(M131:M131,"Blocked")&gt;0,"Blocked",IF(COUNTIF(M131:M131,"NI")&gt;0,"NI",IF(COUNTIF(M131:M131,"Pass")&gt;0,"Pass",""))))</f>
        <v/>
      </c>
      <c r="M131" s="17" t="n"/>
      <c r="N131" s="18" t="n"/>
      <c r="O131" s="18" t="n"/>
      <c r="P131" s="14" t="inlineStr">
        <is>
          <t>스크랩은 좋아요와 달리 정렬에 쓰이지 않고 MY 활동 목록에만 반영됩니다</t>
        </is>
      </c>
      <c r="Q131" s="10" t="inlineStr">
        <is>
          <t>TC-DSC-042</t>
        </is>
      </c>
      <c r="R131" s="10" t="inlineStr">
        <is>
          <t>결정적</t>
        </is>
      </c>
      <c r="S131" s="10" t="inlineStr">
        <is>
          <t>성인 인증</t>
        </is>
      </c>
    </row>
    <row r="132" ht="30" customHeight="1">
      <c r="B132" s="10">
        <f>ROW()-9</f>
        <v/>
      </c>
      <c r="C132" s="83" t="inlineStr">
        <is>
          <t>캐릭터 페이지</t>
        </is>
      </c>
      <c r="D132" s="93" t="inlineStr">
        <is>
          <t>좋아요·스크랩</t>
        </is>
      </c>
      <c r="E132" s="95" t="inlineStr">
        <is>
          <t>스크랩 토글 반영</t>
        </is>
      </c>
      <c r="F132" s="14" t="inlineStr"/>
      <c r="G132" s="15" t="n">
        <v>2</v>
      </c>
      <c r="H132" s="14" t="inlineStr">
        <is>
          <t>페이지를 다시 연다</t>
        </is>
      </c>
      <c r="I132" s="14" t="inlineStr">
        <is>
          <t>스크랩 상태가 유지된다</t>
        </is>
      </c>
      <c r="J132" s="10" t="inlineStr">
        <is>
          <t>공통</t>
        </is>
      </c>
      <c r="K132" s="10" t="inlineStr">
        <is>
          <t>Medium</t>
        </is>
      </c>
      <c r="L132" s="16">
        <f>IF(COUNTIF(M132:M132,"Fail")&gt;0,"Fail",IF(COUNTIF(M132:M132,"Blocked")&gt;0,"Blocked",IF(COUNTIF(M132:M132,"NI")&gt;0,"NI",IF(COUNTIF(M132:M132,"Pass")&gt;0,"Pass",""))))</f>
        <v/>
      </c>
      <c r="M132" s="17" t="n"/>
      <c r="N132" s="18" t="n"/>
      <c r="O132" s="18" t="n"/>
      <c r="P132" s="14" t="n"/>
      <c r="Q132" s="10" t="inlineStr">
        <is>
          <t>TC-DSC-042</t>
        </is>
      </c>
      <c r="R132" s="10" t="inlineStr">
        <is>
          <t>결정적</t>
        </is>
      </c>
      <c r="S132" s="10" t="inlineStr">
        <is>
          <t>성인 인증</t>
        </is>
      </c>
    </row>
    <row r="133" ht="30" customHeight="1">
      <c r="B133" s="10">
        <f>ROW()-9</f>
        <v/>
      </c>
      <c r="C133" s="83" t="inlineStr">
        <is>
          <t>캐릭터 페이지</t>
        </is>
      </c>
      <c r="D133" s="96" t="inlineStr">
        <is>
          <t>하단 버튼</t>
        </is>
      </c>
      <c r="E133" s="97" t="inlineStr">
        <is>
          <t>대화방 없을 때 버튼 구성</t>
        </is>
      </c>
      <c r="F133" s="14" t="inlineStr">
        <is>
          <t>계정 A로 로그인하고 그 캐릭터와의 대화방이 없는 상태</t>
        </is>
      </c>
      <c r="G133" s="15" t="n">
        <v>1</v>
      </c>
      <c r="H133" s="14" t="inlineStr">
        <is>
          <t>하단 고정 버튼 확인한다</t>
        </is>
      </c>
      <c r="I133" s="14" t="inlineStr">
        <is>
          <t>프로필 선택과 대화 시작 버튼이 노출된다</t>
        </is>
      </c>
      <c r="J133" s="10" t="inlineStr">
        <is>
          <t>공통</t>
        </is>
      </c>
      <c r="K133" s="10" t="inlineStr">
        <is>
          <t>High</t>
        </is>
      </c>
      <c r="L133" s="16">
        <f>IF(COUNTIF(M133:M133,"Fail")&gt;0,"Fail",IF(COUNTIF(M133:M133,"Blocked")&gt;0,"Blocked",IF(COUNTIF(M133:M133,"NI")&gt;0,"NI",IF(COUNTIF(M133:M133,"Pass")&gt;0,"Pass",""))))</f>
        <v/>
      </c>
      <c r="M133" s="17" t="n"/>
      <c r="N133" s="18" t="n"/>
      <c r="O133" s="18" t="n"/>
      <c r="P133" s="14" t="inlineStr">
        <is>
          <t>방 유무로 구성이 갈리는 자리라 있는 경우와 나눴습니다</t>
        </is>
      </c>
      <c r="Q133" s="10" t="inlineStr">
        <is>
          <t>TC-DSC-043</t>
        </is>
      </c>
      <c r="R133" s="10" t="inlineStr">
        <is>
          <t>결정적</t>
        </is>
      </c>
      <c r="S133" s="10" t="inlineStr">
        <is>
          <t>성인 인증</t>
        </is>
      </c>
    </row>
    <row r="134" ht="30" customHeight="1">
      <c r="B134" s="10">
        <f>ROW()-9</f>
        <v/>
      </c>
      <c r="C134" s="83" t="inlineStr">
        <is>
          <t>캐릭터 페이지</t>
        </is>
      </c>
      <c r="D134" s="96" t="inlineStr">
        <is>
          <t>하단 버튼</t>
        </is>
      </c>
      <c r="E134" s="97" t="inlineStr">
        <is>
          <t>대화방 없을 때 버튼 구성</t>
        </is>
      </c>
      <c r="F134" s="19" t="n"/>
      <c r="G134" s="19" t="n"/>
      <c r="H134" s="19" t="n"/>
      <c r="I134" s="14" t="inlineStr">
        <is>
          <t>대화방 목록 노출되지 않는다</t>
        </is>
      </c>
      <c r="J134" s="10" t="inlineStr">
        <is>
          <t>공통</t>
        </is>
      </c>
      <c r="K134" s="10" t="inlineStr">
        <is>
          <t>High</t>
        </is>
      </c>
      <c r="L134" s="16">
        <f>IF(COUNTIF(M134:M134,"Fail")&gt;0,"Fail",IF(COUNTIF(M134:M134,"Blocked")&gt;0,"Blocked",IF(COUNTIF(M134:M134,"NI")&gt;0,"NI",IF(COUNTIF(M134:M134,"Pass")&gt;0,"Pass",""))))</f>
        <v/>
      </c>
      <c r="M134" s="17" t="n"/>
      <c r="N134" s="18" t="n"/>
      <c r="O134" s="18" t="n"/>
      <c r="P134" s="19" t="n"/>
      <c r="Q134" s="10" t="inlineStr">
        <is>
          <t>TC-DSC-043</t>
        </is>
      </c>
      <c r="R134" s="10" t="inlineStr">
        <is>
          <t>결정적</t>
        </is>
      </c>
      <c r="S134" s="10" t="inlineStr">
        <is>
          <t>성인 인증</t>
        </is>
      </c>
    </row>
    <row r="135" ht="30" customHeight="1">
      <c r="B135" s="10">
        <f>ROW()-9</f>
        <v/>
      </c>
      <c r="C135" s="83" t="inlineStr">
        <is>
          <t>캐릭터 페이지</t>
        </is>
      </c>
      <c r="D135" s="96" t="inlineStr">
        <is>
          <t>하단 버튼</t>
        </is>
      </c>
      <c r="E135" s="98" t="inlineStr">
        <is>
          <t>대화방 있을 때 버튼 구성</t>
        </is>
      </c>
      <c r="F135" s="14" t="inlineStr">
        <is>
          <t>계정 A로 로그인하고 그 캐릭터와의 대화방이 하나 이상 있는 상태</t>
        </is>
      </c>
      <c r="G135" s="15" t="n">
        <v>1</v>
      </c>
      <c r="H135" s="14" t="inlineStr">
        <is>
          <t>하단 고정 버튼 확인한다</t>
        </is>
      </c>
      <c r="I135" s="14" t="inlineStr">
        <is>
          <t>대화방 목록이 노출된다</t>
        </is>
      </c>
      <c r="J135" s="10" t="inlineStr">
        <is>
          <t>공통</t>
        </is>
      </c>
      <c r="K135" s="10" t="inlineStr">
        <is>
          <t>High</t>
        </is>
      </c>
      <c r="L135" s="16">
        <f>IF(COUNTIF(M135:M135,"Fail")&gt;0,"Fail",IF(COUNTIF(M135:M135,"Blocked")&gt;0,"Blocked",IF(COUNTIF(M135:M135,"NI")&gt;0,"NI",IF(COUNTIF(M135:M135,"Pass")&gt;0,"Pass",""))))</f>
        <v/>
      </c>
      <c r="M135" s="17" t="n"/>
      <c r="N135" s="18" t="n"/>
      <c r="O135" s="18" t="n"/>
      <c r="P135" s="14" t="inlineStr">
        <is>
          <t>방은 대화방 영역의 케이스로 만들어 둡니다. 방마다 프로필·진행 상태가 함께 표시됩니다</t>
        </is>
      </c>
      <c r="Q135" s="10" t="inlineStr">
        <is>
          <t>TC-DSC-044</t>
        </is>
      </c>
      <c r="R135" s="10" t="inlineStr">
        <is>
          <t>결정적</t>
        </is>
      </c>
      <c r="S135" s="10" t="inlineStr">
        <is>
          <t>성인 인증</t>
        </is>
      </c>
    </row>
    <row r="136" ht="30" customHeight="1">
      <c r="B136" s="10">
        <f>ROW()-9</f>
        <v/>
      </c>
      <c r="C136" s="83" t="inlineStr">
        <is>
          <t>캐릭터 페이지</t>
        </is>
      </c>
      <c r="D136" s="96" t="inlineStr">
        <is>
          <t>하단 버튼</t>
        </is>
      </c>
      <c r="E136" s="98" t="inlineStr">
        <is>
          <t>대화방 있을 때 버튼 구성</t>
        </is>
      </c>
      <c r="F136" s="19" t="n"/>
      <c r="G136" s="19" t="n"/>
      <c r="H136" s="19" t="n"/>
      <c r="I136" s="14" t="inlineStr">
        <is>
          <t>새 대화 시작 버튼이 노출된다</t>
        </is>
      </c>
      <c r="J136" s="10" t="inlineStr">
        <is>
          <t>공통</t>
        </is>
      </c>
      <c r="K136" s="10" t="inlineStr">
        <is>
          <t>High</t>
        </is>
      </c>
      <c r="L136" s="16">
        <f>IF(COUNTIF(M136:M136,"Fail")&gt;0,"Fail",IF(COUNTIF(M136:M136,"Blocked")&gt;0,"Blocked",IF(COUNTIF(M136:M136,"NI")&gt;0,"NI",IF(COUNTIF(M136:M136,"Pass")&gt;0,"Pass",""))))</f>
        <v/>
      </c>
      <c r="M136" s="17" t="n"/>
      <c r="N136" s="18" t="n"/>
      <c r="O136" s="18" t="n"/>
      <c r="P136" s="19" t="n"/>
      <c r="Q136" s="10" t="inlineStr">
        <is>
          <t>TC-DSC-044</t>
        </is>
      </c>
      <c r="R136" s="10" t="inlineStr">
        <is>
          <t>결정적</t>
        </is>
      </c>
      <c r="S136" s="10" t="inlineStr">
        <is>
          <t>성인 인증</t>
        </is>
      </c>
    </row>
    <row r="137" ht="30" customHeight="1">
      <c r="B137" s="10">
        <f>ROW()-9</f>
        <v/>
      </c>
      <c r="C137" s="83" t="inlineStr">
        <is>
          <t>캐릭터 페이지</t>
        </is>
      </c>
      <c r="D137" s="96" t="inlineStr">
        <is>
          <t>하단 버튼</t>
        </is>
      </c>
      <c r="E137" s="99" t="inlineStr">
        <is>
          <t>대화방 이어하기</t>
        </is>
      </c>
      <c r="F137" s="14" t="inlineStr">
        <is>
          <t>계정 A로 로그인하고 그 캐릭터와의 대화방이 있는 상태</t>
        </is>
      </c>
      <c r="G137" s="15" t="n">
        <v>1</v>
      </c>
      <c r="H137" s="14" t="inlineStr">
        <is>
          <t>대화방 목록에서 방 선택한다</t>
        </is>
      </c>
      <c r="I137" s="14" t="inlineStr">
        <is>
          <t>그 방으로 재진입된다</t>
        </is>
      </c>
      <c r="J137" s="10" t="inlineStr">
        <is>
          <t>공통</t>
        </is>
      </c>
      <c r="K137" s="10" t="inlineStr">
        <is>
          <t>High</t>
        </is>
      </c>
      <c r="L137" s="16">
        <f>IF(COUNTIF(M137:M137,"Fail")&gt;0,"Fail",IF(COUNTIF(M137:M137,"Blocked")&gt;0,"Blocked",IF(COUNTIF(M137:M137,"NI")&gt;0,"NI",IF(COUNTIF(M137:M137,"Pass")&gt;0,"Pass",""))))</f>
        <v/>
      </c>
      <c r="M137" s="17" t="n"/>
      <c r="N137" s="18" t="n"/>
      <c r="O137" s="18" t="n"/>
      <c r="P137" s="14" t="inlineStr">
        <is>
          <t>대화방 1-Depth는 진입한 상태를 사전조건으로 시작하므로 진입 경로 검증은 여기 남습니다</t>
        </is>
      </c>
      <c r="Q137" s="10" t="inlineStr">
        <is>
          <t>TC-DSC-045</t>
        </is>
      </c>
      <c r="R137" s="10" t="inlineStr">
        <is>
          <t>결정적</t>
        </is>
      </c>
      <c r="S137" s="10" t="inlineStr">
        <is>
          <t>성인 인증</t>
        </is>
      </c>
    </row>
    <row r="138" ht="30" customHeight="1">
      <c r="B138" s="10">
        <f>ROW()-9</f>
        <v/>
      </c>
      <c r="C138" s="83" t="inlineStr">
        <is>
          <t>캐릭터 페이지</t>
        </is>
      </c>
      <c r="D138" s="96" t="inlineStr">
        <is>
          <t>하단 버튼</t>
        </is>
      </c>
      <c r="E138" s="99" t="inlineStr">
        <is>
          <t>대화방 이어하기</t>
        </is>
      </c>
      <c r="F138" s="19" t="n"/>
      <c r="G138" s="19" t="n"/>
      <c r="H138" s="19" t="n"/>
      <c r="I138" s="14" t="inlineStr">
        <is>
          <t>저장된 대화가 그대로 노출된다</t>
        </is>
      </c>
      <c r="J138" s="10" t="inlineStr">
        <is>
          <t>공통</t>
        </is>
      </c>
      <c r="K138" s="10" t="inlineStr">
        <is>
          <t>High</t>
        </is>
      </c>
      <c r="L138" s="16">
        <f>IF(COUNTIF(M138:M138,"Fail")&gt;0,"Fail",IF(COUNTIF(M138:M138,"Blocked")&gt;0,"Blocked",IF(COUNTIF(M138:M138,"NI")&gt;0,"NI",IF(COUNTIF(M138:M138,"Pass")&gt;0,"Pass",""))))</f>
        <v/>
      </c>
      <c r="M138" s="17" t="n"/>
      <c r="N138" s="18" t="n"/>
      <c r="O138" s="18" t="n"/>
      <c r="P138" s="19" t="n"/>
      <c r="Q138" s="10" t="inlineStr">
        <is>
          <t>TC-DSC-045</t>
        </is>
      </c>
      <c r="R138" s="10" t="inlineStr">
        <is>
          <t>결정적</t>
        </is>
      </c>
      <c r="S138" s="10" t="inlineStr">
        <is>
          <t>성인 인증</t>
        </is>
      </c>
    </row>
    <row r="139" ht="30" customHeight="1">
      <c r="B139" s="10">
        <f>ROW()-9</f>
        <v/>
      </c>
      <c r="C139" s="83" t="inlineStr">
        <is>
          <t>캐릭터 페이지</t>
        </is>
      </c>
      <c r="D139" s="96" t="inlineStr">
        <is>
          <t>하단 버튼</t>
        </is>
      </c>
      <c r="E139" s="100" t="inlineStr">
        <is>
          <t>대화방 한도 차단</t>
        </is>
      </c>
      <c r="F139" s="14" t="inlineStr">
        <is>
          <t>계정 A로 로그인하고 그 캐릭터의 대화방이 한도까지 찬 상태</t>
        </is>
      </c>
      <c r="G139" s="15" t="n">
        <v>1</v>
      </c>
      <c r="H139" s="14" t="inlineStr">
        <is>
          <t>새 대화 시작 선택한다</t>
        </is>
      </c>
      <c r="I139" s="14" t="inlineStr">
        <is>
          <t>새 방이 만들어지지 않는다</t>
        </is>
      </c>
      <c r="J139" s="10" t="inlineStr">
        <is>
          <t>공통</t>
        </is>
      </c>
      <c r="K139" s="10" t="inlineStr">
        <is>
          <t>High</t>
        </is>
      </c>
      <c r="L139" s="16">
        <f>IF(COUNTIF(M139:M139,"Fail")&gt;0,"Fail",IF(COUNTIF(M139:M139,"Blocked")&gt;0,"Blocked",IF(COUNTIF(M139:M139,"NI")&gt;0,"NI",IF(COUNTIF(M139:M139,"Pass")&gt;0,"Pass",""))))</f>
        <v/>
      </c>
      <c r="M139" s="17" t="n"/>
      <c r="N139" s="18" t="n"/>
      <c r="O139" s="18" t="n"/>
      <c r="P139" s="14" t="inlineStr">
        <is>
          <t>한도 값은 system-spec §6이 정본이며 세이브 로드의 새 방 갈래도 같은 한도를 받습니다</t>
        </is>
      </c>
      <c r="Q139" s="10" t="inlineStr">
        <is>
          <t>TC-DSC-046</t>
        </is>
      </c>
      <c r="R139" s="10" t="inlineStr">
        <is>
          <t>금칙</t>
        </is>
      </c>
      <c r="S139" s="10" t="inlineStr">
        <is>
          <t>성인 인증</t>
        </is>
      </c>
    </row>
    <row r="140" ht="30" customHeight="1">
      <c r="B140" s="10">
        <f>ROW()-9</f>
        <v/>
      </c>
      <c r="C140" s="83" t="inlineStr">
        <is>
          <t>캐릭터 페이지</t>
        </is>
      </c>
      <c r="D140" s="96" t="inlineStr">
        <is>
          <t>하단 버튼</t>
        </is>
      </c>
      <c r="E140" s="100" t="inlineStr">
        <is>
          <t>대화방 한도 차단</t>
        </is>
      </c>
      <c r="F140" s="19" t="n"/>
      <c r="G140" s="19" t="n"/>
      <c r="H140" s="19" t="n"/>
      <c r="I140" s="14" t="inlineStr">
        <is>
          <t>삭제 여부를 묻는 안내 노출된다</t>
        </is>
      </c>
      <c r="J140" s="10" t="inlineStr">
        <is>
          <t>공통</t>
        </is>
      </c>
      <c r="K140" s="10" t="inlineStr">
        <is>
          <t>High</t>
        </is>
      </c>
      <c r="L140" s="16">
        <f>IF(COUNTIF(M140:M140,"Fail")&gt;0,"Fail",IF(COUNTIF(M140:M140,"Blocked")&gt;0,"Blocked",IF(COUNTIF(M140:M140,"NI")&gt;0,"NI",IF(COUNTIF(M140:M140,"Pass")&gt;0,"Pass",""))))</f>
        <v/>
      </c>
      <c r="M140" s="17" t="n"/>
      <c r="N140" s="18" t="n"/>
      <c r="O140" s="18" t="n"/>
      <c r="P140" s="19" t="n"/>
      <c r="Q140" s="10" t="inlineStr">
        <is>
          <t>TC-DSC-046</t>
        </is>
      </c>
      <c r="R140" s="10" t="inlineStr">
        <is>
          <t>금칙</t>
        </is>
      </c>
      <c r="S140" s="10" t="inlineStr">
        <is>
          <t>성인 인증</t>
        </is>
      </c>
    </row>
    <row r="141" ht="30" customHeight="1">
      <c r="B141" s="10">
        <f>ROW()-9</f>
        <v/>
      </c>
      <c r="C141" s="83" t="inlineStr">
        <is>
          <t>캐릭터 페이지</t>
        </is>
      </c>
      <c r="D141" s="79" t="inlineStr">
        <is>
          <t>언세이프 게이트</t>
        </is>
      </c>
      <c r="E141" s="101" t="inlineStr">
        <is>
          <t>언세이프 페이지 상세 숨김</t>
        </is>
      </c>
      <c r="F141" s="14" t="inlineStr">
        <is>
          <t>계정 B(미성년)로 로그인한 상태</t>
        </is>
      </c>
      <c r="G141" s="15" t="n">
        <v>1</v>
      </c>
      <c r="H141" s="14" t="inlineStr">
        <is>
          <t>언세이프 작품의 캐릭터 페이지를 연다</t>
        </is>
      </c>
      <c r="I141" s="14" t="inlineStr">
        <is>
          <t>소개·시작 상황·첫 메시지가 숨겨진다</t>
        </is>
      </c>
      <c r="J141" s="10" t="inlineStr">
        <is>
          <t>공통</t>
        </is>
      </c>
      <c r="K141" s="10" t="inlineStr">
        <is>
          <t>High</t>
        </is>
      </c>
      <c r="L141" s="16">
        <f>IF(COUNTIF(M141:M141,"Fail")&gt;0,"Fail",IF(COUNTIF(M141:M141,"Blocked")&gt;0,"Blocked",IF(COUNTIF(M141:M141,"NI")&gt;0,"NI",IF(COUNTIF(M141:M141,"Pass")&gt;0,"Pass",""))))</f>
        <v/>
      </c>
      <c r="M141" s="17" t="n"/>
      <c r="N141" s="18" t="n"/>
      <c r="O141" s="18" t="n"/>
      <c r="P141" s="14" t="inlineStr">
        <is>
          <t>홈의 카드 블러와 층이 다릅니다 — 여기는 페이지 안의 상세 숨김이라 지점이 갈립니다</t>
        </is>
      </c>
      <c r="Q141" s="10" t="inlineStr">
        <is>
          <t>TC-GAT-016</t>
        </is>
      </c>
      <c r="R141" s="10" t="inlineStr">
        <is>
          <t>금칙</t>
        </is>
      </c>
      <c r="S141" s="10" t="inlineStr">
        <is>
          <t>미성년</t>
        </is>
      </c>
    </row>
    <row r="142" ht="30" customHeight="1">
      <c r="B142" s="10">
        <f>ROW()-9</f>
        <v/>
      </c>
      <c r="C142" s="83" t="inlineStr">
        <is>
          <t>캐릭터 페이지</t>
        </is>
      </c>
      <c r="D142" s="79" t="inlineStr">
        <is>
          <t>언세이프 게이트</t>
        </is>
      </c>
      <c r="E142" s="101" t="inlineStr">
        <is>
          <t>언세이프 페이지 상세 숨김</t>
        </is>
      </c>
      <c r="F142" s="19" t="n"/>
      <c r="G142" s="19" t="n"/>
      <c r="H142" s="19" t="n"/>
      <c r="I142" s="14" t="inlineStr">
        <is>
          <t>열람 제한 안내 노출된다</t>
        </is>
      </c>
      <c r="J142" s="10" t="inlineStr">
        <is>
          <t>공통</t>
        </is>
      </c>
      <c r="K142" s="10" t="inlineStr">
        <is>
          <t>High</t>
        </is>
      </c>
      <c r="L142" s="16">
        <f>IF(COUNTIF(M142:M142,"Fail")&gt;0,"Fail",IF(COUNTIF(M142:M142,"Blocked")&gt;0,"Blocked",IF(COUNTIF(M142:M142,"NI")&gt;0,"NI",IF(COUNTIF(M142:M142,"Pass")&gt;0,"Pass",""))))</f>
        <v/>
      </c>
      <c r="M142" s="17" t="n"/>
      <c r="N142" s="18" t="n"/>
      <c r="O142" s="18" t="n"/>
      <c r="P142" s="19" t="n"/>
      <c r="Q142" s="10" t="inlineStr">
        <is>
          <t>TC-GAT-016</t>
        </is>
      </c>
      <c r="R142" s="10" t="inlineStr">
        <is>
          <t>금칙</t>
        </is>
      </c>
      <c r="S142" s="10" t="inlineStr">
        <is>
          <t>미성년</t>
        </is>
      </c>
    </row>
    <row r="143" ht="30" customHeight="1">
      <c r="B143" s="10">
        <f>ROW()-9</f>
        <v/>
      </c>
      <c r="C143" s="83" t="inlineStr">
        <is>
          <t>캐릭터 페이지</t>
        </is>
      </c>
      <c r="D143" s="84" t="inlineStr">
        <is>
          <t>작품·캐릭터 층</t>
        </is>
      </c>
      <c r="E143" s="48" t="inlineStr">
        <is>
          <t>없는 캐릭터 주소 폴백</t>
        </is>
      </c>
      <c r="F143" s="14" t="inlineStr">
        <is>
          <t>계정 A로 로그인한 상태</t>
        </is>
      </c>
      <c r="G143" s="15" t="n">
        <v>1</v>
      </c>
      <c r="H143" s="14" t="inlineStr">
        <is>
          <t>없는 캐릭터 id로 캐릭터 페이지 주소에 진입한다</t>
        </is>
      </c>
      <c r="I143" s="14" t="inlineStr">
        <is>
          <t>없는 캐릭터 안내 노출된다</t>
        </is>
      </c>
      <c r="J143" s="10" t="inlineStr">
        <is>
          <t>공통</t>
        </is>
      </c>
      <c r="K143" s="10" t="inlineStr">
        <is>
          <t>Low</t>
        </is>
      </c>
      <c r="L143" s="16">
        <f>IF(COUNTIF(M143:M143,"Fail")&gt;0,"Fail",IF(COUNTIF(M143:M143,"Blocked")&gt;0,"Blocked",IF(COUNTIF(M143:M143,"NI")&gt;0,"NI",IF(COUNTIF(M143:M143,"Pass")&gt;0,"Pass",""))))</f>
        <v/>
      </c>
      <c r="M143" s="17" t="n"/>
      <c r="N143" s="18" t="n"/>
      <c r="O143" s="18" t="n"/>
      <c r="P143" s="14" t="inlineStr">
        <is>
          <t>청사진이 기대값의 출처인 SUT 검증 케이스입니다. 주소로 지정할 수 있는 값이라 잘못된 id가 들어올 수 있고, 그때 빈 화면이 뜨면 결함인지 데이터 문제인지 구분되지 않습니다</t>
        </is>
      </c>
      <c r="Q143" s="10" t="inlineStr">
        <is>
          <t>TC-DSC-054</t>
        </is>
      </c>
      <c r="R143" s="10" t="inlineStr">
        <is>
          <t>결정적</t>
        </is>
      </c>
      <c r="S143" s="10" t="inlineStr">
        <is>
          <t>성인 인증</t>
        </is>
      </c>
    </row>
    <row r="144" ht="30" customHeight="1">
      <c r="B144" s="10">
        <f>ROW()-9</f>
        <v/>
      </c>
      <c r="C144" s="83" t="inlineStr">
        <is>
          <t>캐릭터 페이지</t>
        </is>
      </c>
      <c r="D144" s="84" t="inlineStr">
        <is>
          <t>작품·캐릭터 층</t>
        </is>
      </c>
      <c r="E144" s="48" t="inlineStr">
        <is>
          <t>없는 캐릭터 주소 폴백</t>
        </is>
      </c>
      <c r="F144" s="19" t="n"/>
      <c r="G144" s="19" t="n"/>
      <c r="H144" s="19" t="n"/>
      <c r="I144" s="14" t="inlineStr">
        <is>
          <t>화면이 깨지지 않는다</t>
        </is>
      </c>
      <c r="J144" s="10" t="inlineStr">
        <is>
          <t>공통</t>
        </is>
      </c>
      <c r="K144" s="10" t="inlineStr">
        <is>
          <t>Low</t>
        </is>
      </c>
      <c r="L144" s="16">
        <f>IF(COUNTIF(M144:M144,"Fail")&gt;0,"Fail",IF(COUNTIF(M144:M144,"Blocked")&gt;0,"Blocked",IF(COUNTIF(M144:M144,"NI")&gt;0,"NI",IF(COUNTIF(M144:M144,"Pass")&gt;0,"Pass",""))))</f>
        <v/>
      </c>
      <c r="M144" s="17" t="n"/>
      <c r="N144" s="18" t="n"/>
      <c r="O144" s="18" t="n"/>
      <c r="P144" s="19" t="n"/>
      <c r="Q144" s="10" t="inlineStr">
        <is>
          <t>TC-DSC-054</t>
        </is>
      </c>
      <c r="R144" s="10" t="inlineStr">
        <is>
          <t>결정적</t>
        </is>
      </c>
      <c r="S144" s="10" t="inlineStr">
        <is>
          <t>성인 인증</t>
        </is>
      </c>
    </row>
    <row r="145" ht="30" customHeight="1">
      <c r="B145" s="10">
        <f>ROW()-9</f>
        <v/>
      </c>
      <c r="C145" s="53" t="inlineStr">
        <is>
          <t>대화 프로필 화면</t>
        </is>
      </c>
      <c r="D145" s="79" t="inlineStr">
        <is>
          <t>프로필 폼</t>
        </is>
      </c>
      <c r="E145" s="102" t="inlineStr">
        <is>
          <t>이름 상한 경계</t>
        </is>
      </c>
      <c r="F145" s="14" t="inlineStr">
        <is>
          <t>계정 A로 로그인해 대화 프로필 화면을 연 상태</t>
        </is>
      </c>
      <c r="G145" s="15" t="n">
        <v>1</v>
      </c>
      <c r="H145" s="14" t="inlineStr">
        <is>
          <t>이름에 12자를 입력한다</t>
        </is>
      </c>
      <c r="I145" s="14" t="inlineStr">
        <is>
          <t>12자가 그대로 남는다</t>
        </is>
      </c>
      <c r="J145" s="10" t="inlineStr">
        <is>
          <t>공통</t>
        </is>
      </c>
      <c r="K145" s="10" t="inlineStr">
        <is>
          <t>High</t>
        </is>
      </c>
      <c r="L145" s="16">
        <f>IF(COUNTIF(M145:M145,"Fail")&gt;0,"Fail",IF(COUNTIF(M145:M145,"Blocked")&gt;0,"Blocked",IF(COUNTIF(M145:M145,"NI")&gt;0,"NI",IF(COUNTIF(M145:M145,"Pass")&gt;0,"Pass",""))))</f>
        <v/>
      </c>
      <c r="M145" s="17" t="n"/>
      <c r="N145" s="18" t="n"/>
      <c r="O145" s="18" t="n"/>
      <c r="P145" s="14" t="inlineStr">
        <is>
          <t>어느 경로로 값이 들어와도 상한을 넘는 값이 남지 않는 것이 기대값입니다 — 붙여넣기와 자동화 주입도 같은 결과여야 합니다(§2)</t>
        </is>
      </c>
      <c r="Q145" s="10" t="inlineStr">
        <is>
          <t>TC-PRF-001</t>
        </is>
      </c>
      <c r="R145" s="10" t="inlineStr">
        <is>
          <t>결정적</t>
        </is>
      </c>
      <c r="S145" s="10" t="inlineStr">
        <is>
          <t>성인 인증</t>
        </is>
      </c>
    </row>
    <row r="146" ht="30" customHeight="1">
      <c r="B146" s="10">
        <f>ROW()-9</f>
        <v/>
      </c>
      <c r="C146" s="53" t="inlineStr">
        <is>
          <t>대화 프로필 화면</t>
        </is>
      </c>
      <c r="D146" s="79" t="inlineStr">
        <is>
          <t>프로필 폼</t>
        </is>
      </c>
      <c r="E146" s="102" t="inlineStr">
        <is>
          <t>이름 상한 경계</t>
        </is>
      </c>
      <c r="F146" s="19" t="n"/>
      <c r="G146" s="19" t="n"/>
      <c r="H146" s="19" t="n"/>
      <c r="I146" s="14" t="inlineStr">
        <is>
          <t>카운터가 12/12로 노출된다</t>
        </is>
      </c>
      <c r="J146" s="10" t="inlineStr">
        <is>
          <t>공통</t>
        </is>
      </c>
      <c r="K146" s="10" t="inlineStr">
        <is>
          <t>High</t>
        </is>
      </c>
      <c r="L146" s="16">
        <f>IF(COUNTIF(M146:M146,"Fail")&gt;0,"Fail",IF(COUNTIF(M146:M146,"Blocked")&gt;0,"Blocked",IF(COUNTIF(M146:M146,"NI")&gt;0,"NI",IF(COUNTIF(M146:M146,"Pass")&gt;0,"Pass",""))))</f>
        <v/>
      </c>
      <c r="M146" s="17" t="n"/>
      <c r="N146" s="18" t="n"/>
      <c r="O146" s="18" t="n"/>
      <c r="P146" s="19" t="n"/>
      <c r="Q146" s="10" t="inlineStr">
        <is>
          <t>TC-PRF-001</t>
        </is>
      </c>
      <c r="R146" s="10" t="inlineStr">
        <is>
          <t>결정적</t>
        </is>
      </c>
      <c r="S146" s="10" t="inlineStr">
        <is>
          <t>성인 인증</t>
        </is>
      </c>
    </row>
    <row r="147" ht="30" customHeight="1">
      <c r="B147" s="10">
        <f>ROW()-9</f>
        <v/>
      </c>
      <c r="C147" s="53" t="inlineStr">
        <is>
          <t>대화 프로필 화면</t>
        </is>
      </c>
      <c r="D147" s="79" t="inlineStr">
        <is>
          <t>프로필 폼</t>
        </is>
      </c>
      <c r="E147" s="102" t="inlineStr">
        <is>
          <t>이름 상한 경계</t>
        </is>
      </c>
      <c r="F147" s="14" t="inlineStr"/>
      <c r="G147" s="15" t="n">
        <v>2</v>
      </c>
      <c r="H147" s="14" t="inlineStr">
        <is>
          <t>이름에 13자를 입력한다</t>
        </is>
      </c>
      <c r="I147" s="14" t="inlineStr">
        <is>
          <t>12자까지만 남는다</t>
        </is>
      </c>
      <c r="J147" s="10" t="inlineStr">
        <is>
          <t>공통</t>
        </is>
      </c>
      <c r="K147" s="10" t="inlineStr">
        <is>
          <t>High</t>
        </is>
      </c>
      <c r="L147" s="16">
        <f>IF(COUNTIF(M147:M147,"Fail")&gt;0,"Fail",IF(COUNTIF(M147:M147,"Blocked")&gt;0,"Blocked",IF(COUNTIF(M147:M147,"NI")&gt;0,"NI",IF(COUNTIF(M147:M147,"Pass")&gt;0,"Pass",""))))</f>
        <v/>
      </c>
      <c r="M147" s="17" t="n"/>
      <c r="N147" s="18" t="n"/>
      <c r="O147" s="18" t="n"/>
      <c r="P147" s="14" t="n"/>
      <c r="Q147" s="10" t="inlineStr">
        <is>
          <t>TC-PRF-001</t>
        </is>
      </c>
      <c r="R147" s="10" t="inlineStr">
        <is>
          <t>결정적</t>
        </is>
      </c>
      <c r="S147" s="10" t="inlineStr">
        <is>
          <t>성인 인증</t>
        </is>
      </c>
    </row>
    <row r="148" ht="30" customHeight="1">
      <c r="B148" s="10">
        <f>ROW()-9</f>
        <v/>
      </c>
      <c r="C148" s="53" t="inlineStr">
        <is>
          <t>대화 프로필 화면</t>
        </is>
      </c>
      <c r="D148" s="79" t="inlineStr">
        <is>
          <t>프로필 폼</t>
        </is>
      </c>
      <c r="E148" s="103" t="inlineStr">
        <is>
          <t>자유 설명 상한 경계</t>
        </is>
      </c>
      <c r="F148" s="14" t="inlineStr">
        <is>
          <t>계정 A로 로그인해 대화 프로필 화면을 연 상태</t>
        </is>
      </c>
      <c r="G148" s="15" t="n">
        <v>1</v>
      </c>
      <c r="H148" s="14" t="inlineStr">
        <is>
          <t>자유 설명에 1,001자를 입력한다</t>
        </is>
      </c>
      <c r="I148" s="14" t="inlineStr">
        <is>
          <t>1,000자까지만 남는다</t>
        </is>
      </c>
      <c r="J148" s="10" t="inlineStr">
        <is>
          <t>공통</t>
        </is>
      </c>
      <c r="K148" s="10" t="inlineStr">
        <is>
          <t>Medium</t>
        </is>
      </c>
      <c r="L148" s="16">
        <f>IF(COUNTIF(M148:M148,"Fail")&gt;0,"Fail",IF(COUNTIF(M148:M148,"Blocked")&gt;0,"Blocked",IF(COUNTIF(M148:M148,"NI")&gt;0,"NI",IF(COUNTIF(M148:M148,"Pass")&gt;0,"Pass",""))))</f>
        <v/>
      </c>
      <c r="M148" s="17" t="n"/>
      <c r="N148" s="18" t="n"/>
      <c r="O148" s="18" t="n"/>
      <c r="P148" s="14" t="inlineStr">
        <is>
          <t>값 주입으로 넣어야 실효가 있습니다 — 손으로 치면 입력 단계에서 막혀 저장 경로의 자르기가 확인되지 않습니다</t>
        </is>
      </c>
      <c r="Q148" s="10" t="inlineStr">
        <is>
          <t>TC-PRF-002</t>
        </is>
      </c>
      <c r="R148" s="10" t="inlineStr">
        <is>
          <t>결정적</t>
        </is>
      </c>
      <c r="S148" s="10" t="inlineStr">
        <is>
          <t>성인 인증</t>
        </is>
      </c>
    </row>
    <row r="149" ht="30" customHeight="1">
      <c r="B149" s="10">
        <f>ROW()-9</f>
        <v/>
      </c>
      <c r="C149" s="53" t="inlineStr">
        <is>
          <t>대화 프로필 화면</t>
        </is>
      </c>
      <c r="D149" s="79" t="inlineStr">
        <is>
          <t>프로필 폼</t>
        </is>
      </c>
      <c r="E149" s="104" t="inlineStr">
        <is>
          <t>필수값 없으면 저장 비활성</t>
        </is>
      </c>
      <c r="F149" s="14" t="inlineStr">
        <is>
          <t>계정 A로 로그인해 대화 프로필 화면을 연 상태</t>
        </is>
      </c>
      <c r="G149" s="15" t="n">
        <v>1</v>
      </c>
      <c r="H149" s="14" t="inlineStr">
        <is>
          <t>이름을 비운다</t>
        </is>
      </c>
      <c r="I149" s="14" t="inlineStr">
        <is>
          <t>저장 버튼이 비활성된다</t>
        </is>
      </c>
      <c r="J149" s="10" t="inlineStr">
        <is>
          <t>공통</t>
        </is>
      </c>
      <c r="K149" s="10" t="inlineStr">
        <is>
          <t>Medium</t>
        </is>
      </c>
      <c r="L149" s="16">
        <f>IF(COUNTIF(M149:M149,"Fail")&gt;0,"Fail",IF(COUNTIF(M149:M149,"Blocked")&gt;0,"Blocked",IF(COUNTIF(M149:M149,"NI")&gt;0,"NI",IF(COUNTIF(M149:M149,"Pass")&gt;0,"Pass",""))))</f>
        <v/>
      </c>
      <c r="M149" s="17" t="n"/>
      <c r="N149" s="18" t="n"/>
      <c r="O149" s="18" t="n"/>
      <c r="P149" s="14" t="inlineStr">
        <is>
          <t>공백만 넣어도 비활성이어야 합니다 — 이름이 필수값인 유일한 항목입니다</t>
        </is>
      </c>
      <c r="Q149" s="10" t="inlineStr">
        <is>
          <t>TC-PRF-003</t>
        </is>
      </c>
      <c r="R149" s="10" t="inlineStr">
        <is>
          <t>결정적</t>
        </is>
      </c>
      <c r="S149" s="10" t="inlineStr">
        <is>
          <t>성인 인증</t>
        </is>
      </c>
    </row>
    <row r="150" ht="30" customHeight="1">
      <c r="B150" s="10">
        <f>ROW()-9</f>
        <v/>
      </c>
      <c r="C150" s="53" t="inlineStr">
        <is>
          <t>대화 프로필 화면</t>
        </is>
      </c>
      <c r="D150" s="79" t="inlineStr">
        <is>
          <t>프로필 폼</t>
        </is>
      </c>
      <c r="E150" s="104" t="inlineStr">
        <is>
          <t>필수값 없으면 저장 비활성</t>
        </is>
      </c>
      <c r="F150" s="14" t="inlineStr"/>
      <c r="G150" s="15" t="n">
        <v>2</v>
      </c>
      <c r="H150" s="14" t="inlineStr">
        <is>
          <t>이름에 공백만 입력한다</t>
        </is>
      </c>
      <c r="I150" s="14" t="inlineStr">
        <is>
          <t>저장 버튼이 비활성 상태로 유지된다</t>
        </is>
      </c>
      <c r="J150" s="10" t="inlineStr">
        <is>
          <t>공통</t>
        </is>
      </c>
      <c r="K150" s="10" t="inlineStr">
        <is>
          <t>Medium</t>
        </is>
      </c>
      <c r="L150" s="16">
        <f>IF(COUNTIF(M150:M150,"Fail")&gt;0,"Fail",IF(COUNTIF(M150:M150,"Blocked")&gt;0,"Blocked",IF(COUNTIF(M150:M150,"NI")&gt;0,"NI",IF(COUNTIF(M150:M150,"Pass")&gt;0,"Pass",""))))</f>
        <v/>
      </c>
      <c r="M150" s="17" t="n"/>
      <c r="N150" s="18" t="n"/>
      <c r="O150" s="18" t="n"/>
      <c r="P150" s="14" t="n"/>
      <c r="Q150" s="10" t="inlineStr">
        <is>
          <t>TC-PRF-003</t>
        </is>
      </c>
      <c r="R150" s="10" t="inlineStr">
        <is>
          <t>결정적</t>
        </is>
      </c>
      <c r="S150" s="10" t="inlineStr">
        <is>
          <t>성인 인증</t>
        </is>
      </c>
    </row>
    <row r="151" ht="30" customHeight="1">
      <c r="B151" s="10">
        <f>ROW()-9</f>
        <v/>
      </c>
      <c r="C151" s="53" t="inlineStr">
        <is>
          <t>대화 프로필 화면</t>
        </is>
      </c>
      <c r="D151" s="79" t="inlineStr">
        <is>
          <t>프로필 폼</t>
        </is>
      </c>
      <c r="E151" s="43" t="inlineStr">
        <is>
          <t>Label 상한 경계</t>
        </is>
      </c>
      <c r="F151" s="14" t="inlineStr">
        <is>
          <t>계정 A로 로그인해 대화 프로필 화면을 연 상태</t>
        </is>
      </c>
      <c r="G151" s="15" t="n">
        <v>1</v>
      </c>
      <c r="H151" s="14" t="inlineStr">
        <is>
          <t>Label에 31자를 입력한다</t>
        </is>
      </c>
      <c r="I151" s="14" t="inlineStr">
        <is>
          <t>30자까지만 남는다</t>
        </is>
      </c>
      <c r="J151" s="10" t="inlineStr">
        <is>
          <t>공통</t>
        </is>
      </c>
      <c r="K151" s="10" t="inlineStr">
        <is>
          <t>Low</t>
        </is>
      </c>
      <c r="L151" s="16">
        <f>IF(COUNTIF(M151:M151,"Fail")&gt;0,"Fail",IF(COUNTIF(M151:M151,"Blocked")&gt;0,"Blocked",IF(COUNTIF(M151:M151,"NI")&gt;0,"NI",IF(COUNTIF(M151:M151,"Pass")&gt;0,"Pass",""))))</f>
        <v/>
      </c>
      <c r="M151" s="17" t="n"/>
      <c r="N151" s="18" t="n"/>
      <c r="O151" s="18" t="n"/>
      <c r="P151" s="14" t="inlineStr">
        <is>
          <t>Label은 프로필의 용도를 적는 짧은 표기입니다(연애 모드 등). 목록에서 프로필을 가리는 데 쓰입니다</t>
        </is>
      </c>
      <c r="Q151" s="10" t="inlineStr">
        <is>
          <t>TC-PRF-004</t>
        </is>
      </c>
      <c r="R151" s="10" t="inlineStr">
        <is>
          <t>결정적</t>
        </is>
      </c>
      <c r="S151" s="10" t="inlineStr">
        <is>
          <t>성인 인증</t>
        </is>
      </c>
    </row>
    <row r="152" ht="30" customHeight="1">
      <c r="B152" s="10">
        <f>ROW()-9</f>
        <v/>
      </c>
      <c r="C152" s="53" t="inlineStr">
        <is>
          <t>대화 프로필 화면</t>
        </is>
      </c>
      <c r="D152" s="79" t="inlineStr">
        <is>
          <t>프로필 폼</t>
        </is>
      </c>
      <c r="E152" s="105" t="inlineStr">
        <is>
          <t>랜덤 완성도 규칙을 받음</t>
        </is>
      </c>
      <c r="F152" s="14" t="inlineStr">
        <is>
          <t>계정 A로 로그인해 대화 프로필 화면을 연 상태</t>
        </is>
      </c>
      <c r="G152" s="15" t="n">
        <v>1</v>
      </c>
      <c r="H152" s="14" t="inlineStr">
        <is>
          <t>랜덤 완성 선택한다</t>
        </is>
      </c>
      <c r="I152" s="14" t="inlineStr">
        <is>
          <t>폼이 채워진다</t>
        </is>
      </c>
      <c r="J152" s="10" t="inlineStr">
        <is>
          <t>공통</t>
        </is>
      </c>
      <c r="K152" s="10" t="inlineStr">
        <is>
          <t>Low</t>
        </is>
      </c>
      <c r="L152" s="16">
        <f>IF(COUNTIF(M152:M152,"Fail")&gt;0,"Fail",IF(COUNTIF(M152:M152,"Blocked")&gt;0,"Blocked",IF(COUNTIF(M152:M152,"NI")&gt;0,"NI",IF(COUNTIF(M152:M152,"Pass")&gt;0,"Pass",""))))</f>
        <v/>
      </c>
      <c r="M152" s="17" t="n"/>
      <c r="N152" s="18" t="n"/>
      <c r="O152" s="18" t="n"/>
      <c r="P152" s="14" t="inlineStr">
        <is>
          <t>랜덤으로 채운 값도 상한·필수값 규칙을 그대로 받는 것이 기대값입니다</t>
        </is>
      </c>
      <c r="Q152" s="10" t="inlineStr">
        <is>
          <t>TC-PRF-005</t>
        </is>
      </c>
      <c r="R152" s="10" t="inlineStr">
        <is>
          <t>결정적</t>
        </is>
      </c>
      <c r="S152" s="10" t="inlineStr">
        <is>
          <t>성인 인증</t>
        </is>
      </c>
    </row>
    <row r="153" ht="30" customHeight="1">
      <c r="B153" s="10">
        <f>ROW()-9</f>
        <v/>
      </c>
      <c r="C153" s="53" t="inlineStr">
        <is>
          <t>대화 프로필 화면</t>
        </is>
      </c>
      <c r="D153" s="79" t="inlineStr">
        <is>
          <t>프로필 폼</t>
        </is>
      </c>
      <c r="E153" s="105" t="inlineStr">
        <is>
          <t>랜덤 완성도 규칙을 받음</t>
        </is>
      </c>
      <c r="F153" s="50" t="n"/>
      <c r="G153" s="50" t="n"/>
      <c r="H153" s="50" t="n"/>
      <c r="I153" s="14" t="inlineStr">
        <is>
          <t>채워진 값이 상한을 넘지 않는다</t>
        </is>
      </c>
      <c r="J153" s="10" t="inlineStr">
        <is>
          <t>공통</t>
        </is>
      </c>
      <c r="K153" s="10" t="inlineStr">
        <is>
          <t>Low</t>
        </is>
      </c>
      <c r="L153" s="16">
        <f>IF(COUNTIF(M153:M153,"Fail")&gt;0,"Fail",IF(COUNTIF(M153:M153,"Blocked")&gt;0,"Blocked",IF(COUNTIF(M153:M153,"NI")&gt;0,"NI",IF(COUNTIF(M153:M153,"Pass")&gt;0,"Pass",""))))</f>
        <v/>
      </c>
      <c r="M153" s="17" t="n"/>
      <c r="N153" s="18" t="n"/>
      <c r="O153" s="18" t="n"/>
      <c r="P153" s="50" t="n"/>
      <c r="Q153" s="10" t="inlineStr">
        <is>
          <t>TC-PRF-005</t>
        </is>
      </c>
      <c r="R153" s="10" t="inlineStr">
        <is>
          <t>결정적</t>
        </is>
      </c>
      <c r="S153" s="10" t="inlineStr">
        <is>
          <t>성인 인증</t>
        </is>
      </c>
    </row>
    <row r="154" ht="30" customHeight="1">
      <c r="B154" s="10">
        <f>ROW()-9</f>
        <v/>
      </c>
      <c r="C154" s="53" t="inlineStr">
        <is>
          <t>대화 프로필 화면</t>
        </is>
      </c>
      <c r="D154" s="79" t="inlineStr">
        <is>
          <t>프로필 폼</t>
        </is>
      </c>
      <c r="E154" s="105" t="inlineStr">
        <is>
          <t>랜덤 완성도 규칙을 받음</t>
        </is>
      </c>
      <c r="F154" s="19" t="n"/>
      <c r="G154" s="19" t="n"/>
      <c r="H154" s="19" t="n"/>
      <c r="I154" s="14" t="inlineStr">
        <is>
          <t>저장 버튼이 활성된다</t>
        </is>
      </c>
      <c r="J154" s="10" t="inlineStr">
        <is>
          <t>공통</t>
        </is>
      </c>
      <c r="K154" s="10" t="inlineStr">
        <is>
          <t>Low</t>
        </is>
      </c>
      <c r="L154" s="16">
        <f>IF(COUNTIF(M154:M154,"Fail")&gt;0,"Fail",IF(COUNTIF(M154:M154,"Blocked")&gt;0,"Blocked",IF(COUNTIF(M154:M154,"NI")&gt;0,"NI",IF(COUNTIF(M154:M154,"Pass")&gt;0,"Pass",""))))</f>
        <v/>
      </c>
      <c r="M154" s="17" t="n"/>
      <c r="N154" s="18" t="n"/>
      <c r="O154" s="18" t="n"/>
      <c r="P154" s="19" t="n"/>
      <c r="Q154" s="10" t="inlineStr">
        <is>
          <t>TC-PRF-005</t>
        </is>
      </c>
      <c r="R154" s="10" t="inlineStr">
        <is>
          <t>결정적</t>
        </is>
      </c>
      <c r="S154" s="10" t="inlineStr">
        <is>
          <t>성인 인증</t>
        </is>
      </c>
    </row>
    <row r="155" ht="30" customHeight="1">
      <c r="B155" s="10">
        <f>ROW()-9</f>
        <v/>
      </c>
      <c r="C155" s="53" t="inlineStr">
        <is>
          <t>대화 프로필 화면</t>
        </is>
      </c>
      <c r="D155" s="106" t="inlineStr">
        <is>
          <t>복수 프로필</t>
        </is>
      </c>
      <c r="E155" s="107" t="inlineStr">
        <is>
          <t>프로필 개수 한도</t>
        </is>
      </c>
      <c r="F155" s="14" t="inlineStr">
        <is>
          <t>계정 A로 로그인하고 프로필을 한도까지 만든 상태</t>
        </is>
      </c>
      <c r="G155" s="15" t="n">
        <v>1</v>
      </c>
      <c r="H155" s="14" t="inlineStr">
        <is>
          <t>프로필 추가를 시도한다</t>
        </is>
      </c>
      <c r="I155" s="14" t="inlineStr">
        <is>
          <t>추가가 막힌다</t>
        </is>
      </c>
      <c r="J155" s="10" t="inlineStr">
        <is>
          <t>공통</t>
        </is>
      </c>
      <c r="K155" s="10" t="inlineStr">
        <is>
          <t>Medium</t>
        </is>
      </c>
      <c r="L155" s="16">
        <f>IF(COUNTIF(M155:M155,"Fail")&gt;0,"Fail",IF(COUNTIF(M155:M155,"Blocked")&gt;0,"Blocked",IF(COUNTIF(M155:M155,"NI")&gt;0,"NI",IF(COUNTIF(M155:M155,"Pass")&gt;0,"Pass",""))))</f>
        <v/>
      </c>
      <c r="M155" s="17" t="n"/>
      <c r="N155" s="18" t="n"/>
      <c r="O155" s="18" t="n"/>
      <c r="P155" s="14" t="inlineStr">
        <is>
          <t>한도 5는 §2가 정본입니다. 실측값 100은 경계를 만드는 비용이 커 자사 값으로 낮춘 것입니다</t>
        </is>
      </c>
      <c r="Q155" s="10" t="inlineStr">
        <is>
          <t>TC-PRF-006</t>
        </is>
      </c>
      <c r="R155" s="10" t="inlineStr">
        <is>
          <t>결정적</t>
        </is>
      </c>
      <c r="S155" s="10" t="inlineStr">
        <is>
          <t>성인 인증</t>
        </is>
      </c>
    </row>
    <row r="156" ht="30" customHeight="1">
      <c r="B156" s="10">
        <f>ROW()-9</f>
        <v/>
      </c>
      <c r="C156" s="53" t="inlineStr">
        <is>
          <t>대화 프로필 화면</t>
        </is>
      </c>
      <c r="D156" s="106" t="inlineStr">
        <is>
          <t>복수 프로필</t>
        </is>
      </c>
      <c r="E156" s="107" t="inlineStr">
        <is>
          <t>프로필 개수 한도</t>
        </is>
      </c>
      <c r="F156" s="19" t="n"/>
      <c r="G156" s="19" t="n"/>
      <c r="H156" s="19" t="n"/>
      <c r="I156" s="14" t="inlineStr">
        <is>
          <t>한도 안내 노출된다</t>
        </is>
      </c>
      <c r="J156" s="10" t="inlineStr">
        <is>
          <t>공통</t>
        </is>
      </c>
      <c r="K156" s="10" t="inlineStr">
        <is>
          <t>Medium</t>
        </is>
      </c>
      <c r="L156" s="16">
        <f>IF(COUNTIF(M156:M156,"Fail")&gt;0,"Fail",IF(COUNTIF(M156:M156,"Blocked")&gt;0,"Blocked",IF(COUNTIF(M156:M156,"NI")&gt;0,"NI",IF(COUNTIF(M156:M156,"Pass")&gt;0,"Pass",""))))</f>
        <v/>
      </c>
      <c r="M156" s="17" t="n"/>
      <c r="N156" s="18" t="n"/>
      <c r="O156" s="18" t="n"/>
      <c r="P156" s="19" t="n"/>
      <c r="Q156" s="10" t="inlineStr">
        <is>
          <t>TC-PRF-006</t>
        </is>
      </c>
      <c r="R156" s="10" t="inlineStr">
        <is>
          <t>결정적</t>
        </is>
      </c>
      <c r="S156" s="10" t="inlineStr">
        <is>
          <t>성인 인증</t>
        </is>
      </c>
    </row>
    <row r="157" ht="30" customHeight="1">
      <c r="B157" s="10">
        <f>ROW()-9</f>
        <v/>
      </c>
      <c r="C157" s="53" t="inlineStr">
        <is>
          <t>대화 프로필 화면</t>
        </is>
      </c>
      <c r="D157" s="106" t="inlineStr">
        <is>
          <t>복수 프로필</t>
        </is>
      </c>
      <c r="E157" s="108" t="inlineStr">
        <is>
          <t>대화 시작 시 프로필 고정</t>
        </is>
      </c>
      <c r="F157" s="14" t="inlineStr">
        <is>
          <t>계정 A로 로그인하고 프로필을 둘 이상 만든 상태</t>
        </is>
      </c>
      <c r="G157" s="15" t="n">
        <v>1</v>
      </c>
      <c r="H157" s="14" t="inlineStr">
        <is>
          <t>프로필 하나를 골라 대화를 시작한다</t>
        </is>
      </c>
      <c r="I157" s="14" t="inlineStr">
        <is>
          <t>대화방으로 진입된다</t>
        </is>
      </c>
      <c r="J157" s="10" t="inlineStr">
        <is>
          <t>공통</t>
        </is>
      </c>
      <c r="K157" s="10" t="inlineStr">
        <is>
          <t>High</t>
        </is>
      </c>
      <c r="L157" s="16">
        <f>IF(COUNTIF(M157:M157,"Fail")&gt;0,"Fail",IF(COUNTIF(M157:M157,"Blocked")&gt;0,"Blocked",IF(COUNTIF(M157:M157,"NI")&gt;0,"NI",IF(COUNTIF(M157:M157,"Pass")&gt;0,"Pass",""))))</f>
        <v/>
      </c>
      <c r="M157" s="17" t="n"/>
      <c r="N157" s="18" t="n"/>
      <c r="O157" s="18" t="n"/>
      <c r="P157" s="14" t="inlineStr">
        <is>
          <t>방을 만든 뒤에는 프로필이 바뀌지 않습니다 — 방마다 다른 프로필을 쓰는 것이 이 구조의 목적입니다</t>
        </is>
      </c>
      <c r="Q157" s="10" t="inlineStr">
        <is>
          <t>TC-PRF-007</t>
        </is>
      </c>
      <c r="R157" s="10" t="inlineStr">
        <is>
          <t>결정적</t>
        </is>
      </c>
      <c r="S157" s="10" t="inlineStr">
        <is>
          <t>성인 인증</t>
        </is>
      </c>
    </row>
    <row r="158" ht="30" customHeight="1">
      <c r="B158" s="10">
        <f>ROW()-9</f>
        <v/>
      </c>
      <c r="C158" s="53" t="inlineStr">
        <is>
          <t>대화 프로필 화면</t>
        </is>
      </c>
      <c r="D158" s="106" t="inlineStr">
        <is>
          <t>복수 프로필</t>
        </is>
      </c>
      <c r="E158" s="108" t="inlineStr">
        <is>
          <t>대화 시작 시 프로필 고정</t>
        </is>
      </c>
      <c r="F158" s="14" t="inlineStr"/>
      <c r="G158" s="15" t="n">
        <v>2</v>
      </c>
      <c r="H158" s="14" t="inlineStr">
        <is>
          <t>대화방의 프로필 표시를 확인한다</t>
        </is>
      </c>
      <c r="I158" s="14" t="inlineStr">
        <is>
          <t>고른 프로필이 그 방에 고정된다</t>
        </is>
      </c>
      <c r="J158" s="10" t="inlineStr">
        <is>
          <t>공통</t>
        </is>
      </c>
      <c r="K158" s="10" t="inlineStr">
        <is>
          <t>High</t>
        </is>
      </c>
      <c r="L158" s="16">
        <f>IF(COUNTIF(M158:M158,"Fail")&gt;0,"Fail",IF(COUNTIF(M158:M158,"Blocked")&gt;0,"Blocked",IF(COUNTIF(M158:M158,"NI")&gt;0,"NI",IF(COUNTIF(M158:M158,"Pass")&gt;0,"Pass",""))))</f>
        <v/>
      </c>
      <c r="M158" s="17" t="n"/>
      <c r="N158" s="18" t="n"/>
      <c r="O158" s="18" t="n"/>
      <c r="P158" s="14" t="n"/>
      <c r="Q158" s="10" t="inlineStr">
        <is>
          <t>TC-PRF-007</t>
        </is>
      </c>
      <c r="R158" s="10" t="inlineStr">
        <is>
          <t>결정적</t>
        </is>
      </c>
      <c r="S158" s="10" t="inlineStr">
        <is>
          <t>성인 인증</t>
        </is>
      </c>
    </row>
    <row r="159" ht="30" customHeight="1">
      <c r="B159" s="10">
        <f>ROW()-9</f>
        <v/>
      </c>
      <c r="C159" s="53" t="inlineStr">
        <is>
          <t>대화 프로필 화면</t>
        </is>
      </c>
      <c r="D159" s="106" t="inlineStr">
        <is>
          <t>복수 프로필</t>
        </is>
      </c>
      <c r="E159" s="109" t="inlineStr">
        <is>
          <t>프로필 간 격리</t>
        </is>
      </c>
      <c r="F159" s="14" t="inlineStr">
        <is>
          <t>계정 A로 로그인하고 서로 다른 프로필로 만든 대화방이 둘 있는 상태</t>
        </is>
      </c>
      <c r="G159" s="15" t="n">
        <v>1</v>
      </c>
      <c r="H159" s="14" t="inlineStr">
        <is>
          <t>두 방의 응답에서 이름·호칭을 확인한다</t>
        </is>
      </c>
      <c r="I159" s="14" t="inlineStr">
        <is>
          <t>각 방이 자기 프로필의 이름·호칭으로 응답한다</t>
        </is>
      </c>
      <c r="J159" s="10" t="inlineStr">
        <is>
          <t>공통</t>
        </is>
      </c>
      <c r="K159" s="10" t="inlineStr">
        <is>
          <t>High</t>
        </is>
      </c>
      <c r="L159" s="16">
        <f>IF(COUNTIF(M159:M159,"Fail")&gt;0,"Fail",IF(COUNTIF(M159:M159,"Blocked")&gt;0,"Blocked",IF(COUNTIF(M159:M159,"NI")&gt;0,"NI",IF(COUNTIF(M159:M159,"Pass")&gt;0,"Pass",""))))</f>
        <v/>
      </c>
      <c r="M159" s="17" t="n"/>
      <c r="N159" s="18" t="n"/>
      <c r="O159" s="18" t="n"/>
      <c r="P159" s="14" t="inlineStr">
        <is>
          <t>프로필을 지워도 그 프로필로 시작한 방의 대화는 저장된 값으로 남습니다 — 방에 사본이 고정되기 때문입니다</t>
        </is>
      </c>
      <c r="Q159" s="10" t="inlineStr">
        <is>
          <t>TC-PRF-008</t>
        </is>
      </c>
      <c r="R159" s="10" t="inlineStr">
        <is>
          <t>금칙</t>
        </is>
      </c>
      <c r="S159" s="10" t="inlineStr">
        <is>
          <t>성인 인증</t>
        </is>
      </c>
    </row>
    <row r="160" ht="30" customHeight="1">
      <c r="B160" s="10">
        <f>ROW()-9</f>
        <v/>
      </c>
      <c r="C160" s="53" t="inlineStr">
        <is>
          <t>대화 프로필 화면</t>
        </is>
      </c>
      <c r="D160" s="106" t="inlineStr">
        <is>
          <t>복수 프로필</t>
        </is>
      </c>
      <c r="E160" s="109" t="inlineStr">
        <is>
          <t>프로필 간 격리</t>
        </is>
      </c>
      <c r="F160" s="19" t="n"/>
      <c r="G160" s="19" t="n"/>
      <c r="H160" s="19" t="n"/>
      <c r="I160" s="14" t="inlineStr">
        <is>
          <t>다른 방의 값이 섞이지 않는다</t>
        </is>
      </c>
      <c r="J160" s="10" t="inlineStr">
        <is>
          <t>공통</t>
        </is>
      </c>
      <c r="K160" s="10" t="inlineStr">
        <is>
          <t>High</t>
        </is>
      </c>
      <c r="L160" s="16">
        <f>IF(COUNTIF(M160:M160,"Fail")&gt;0,"Fail",IF(COUNTIF(M160:M160,"Blocked")&gt;0,"Blocked",IF(COUNTIF(M160:M160,"NI")&gt;0,"NI",IF(COUNTIF(M160:M160,"Pass")&gt;0,"Pass",""))))</f>
        <v/>
      </c>
      <c r="M160" s="17" t="n"/>
      <c r="N160" s="18" t="n"/>
      <c r="O160" s="18" t="n"/>
      <c r="P160" s="19" t="n"/>
      <c r="Q160" s="10" t="inlineStr">
        <is>
          <t>TC-PRF-008</t>
        </is>
      </c>
      <c r="R160" s="10" t="inlineStr">
        <is>
          <t>금칙</t>
        </is>
      </c>
      <c r="S160" s="10" t="inlineStr">
        <is>
          <t>성인 인증</t>
        </is>
      </c>
    </row>
    <row r="161" ht="30" customHeight="1">
      <c r="B161" s="10">
        <f>ROW()-9</f>
        <v/>
      </c>
      <c r="C161" s="53" t="inlineStr">
        <is>
          <t>대화 프로필 화면</t>
        </is>
      </c>
      <c r="D161" s="79" t="inlineStr">
        <is>
          <t>프로필 폼</t>
        </is>
      </c>
      <c r="E161" s="110" t="inlineStr">
        <is>
          <t>빈 상태 안내</t>
        </is>
      </c>
      <c r="F161" s="14" t="inlineStr">
        <is>
          <t>계정 A로 로그인하고 프로필이 하나도 없는 상태</t>
        </is>
      </c>
      <c r="G161" s="15" t="n">
        <v>1</v>
      </c>
      <c r="H161" s="14" t="inlineStr">
        <is>
          <t>대화 프로필 화면을 연다</t>
        </is>
      </c>
      <c r="I161" s="14" t="inlineStr">
        <is>
          <t>빈 상태 안내 노출된다</t>
        </is>
      </c>
      <c r="J161" s="10" t="inlineStr">
        <is>
          <t>공통</t>
        </is>
      </c>
      <c r="K161" s="10" t="inlineStr">
        <is>
          <t>Low</t>
        </is>
      </c>
      <c r="L161" s="16">
        <f>IF(COUNTIF(M161:M161,"Fail")&gt;0,"Fail",IF(COUNTIF(M161:M161,"Blocked")&gt;0,"Blocked",IF(COUNTIF(M161:M161,"NI")&gt;0,"NI",IF(COUNTIF(M161:M161,"Pass")&gt;0,"Pass",""))))</f>
        <v/>
      </c>
      <c r="M161" s="17" t="n"/>
      <c r="N161" s="18" t="n"/>
      <c r="O161" s="18" t="n"/>
      <c r="P161" s="14" t="inlineStr">
        <is>
          <t>첫 진입 화면이라 목록만 비어 있으면 폼이 안 뜬 것인지 프로필이 없는 것인지 구분되지 않습니다</t>
        </is>
      </c>
      <c r="Q161" s="10" t="inlineStr">
        <is>
          <t>TC-PRF-009</t>
        </is>
      </c>
      <c r="R161" s="10" t="inlineStr">
        <is>
          <t>결정적</t>
        </is>
      </c>
      <c r="S161" s="10" t="inlineStr">
        <is>
          <t>성인 인증</t>
        </is>
      </c>
    </row>
    <row r="162" ht="30" customHeight="1">
      <c r="B162" s="10">
        <f>ROW()-9</f>
        <v/>
      </c>
      <c r="C162" s="53" t="inlineStr">
        <is>
          <t>대화 프로필 화면</t>
        </is>
      </c>
      <c r="D162" s="79" t="inlineStr">
        <is>
          <t>프로필 폼</t>
        </is>
      </c>
      <c r="E162" s="31" t="inlineStr">
        <is>
          <t>설명란 프롬프트 주입 차단</t>
        </is>
      </c>
      <c r="F162" s="14" t="inlineStr">
        <is>
          <t>계정 A로 로그인해 대화 프로필 화면을 연 상태</t>
        </is>
      </c>
      <c r="G162" s="15" t="n">
        <v>1</v>
      </c>
      <c r="H162" s="14" t="inlineStr">
        <is>
          <t>자유 설명에 주입 토큰을 넣어 저장한다</t>
        </is>
      </c>
      <c r="I162" s="14" t="inlineStr">
        <is>
          <t>저장 시 차단 안내 노출된다</t>
        </is>
      </c>
      <c r="J162" s="10" t="inlineStr">
        <is>
          <t>공통</t>
        </is>
      </c>
      <c r="K162" s="10" t="inlineStr">
        <is>
          <t>High</t>
        </is>
      </c>
      <c r="L162" s="16">
        <f>IF(COUNTIF(M162:M162,"Fail")&gt;0,"Fail",IF(COUNTIF(M162:M162,"Blocked")&gt;0,"Blocked",IF(COUNTIF(M162:M162,"NI")&gt;0,"NI",IF(COUNTIF(M162:M162,"Pass")&gt;0,"Pass",""))))</f>
        <v/>
      </c>
      <c r="M162" s="17" t="n"/>
      <c r="N162" s="18" t="n"/>
      <c r="O162" s="18" t="n"/>
      <c r="P162" s="14" t="inlineStr">
        <is>
          <t>게이팅 계층의 차단이며 모델 자체의 주입 내성 검증이 아닙니다. 코퍼스는 추상 토큰만 씁니다</t>
        </is>
      </c>
      <c r="Q162" s="10" t="inlineStr">
        <is>
          <t>TC-SAF-001</t>
        </is>
      </c>
      <c r="R162" s="10" t="inlineStr">
        <is>
          <t>금칙</t>
        </is>
      </c>
      <c r="S162" s="10" t="inlineStr">
        <is>
          <t>성인 인증</t>
        </is>
      </c>
    </row>
    <row r="163" ht="30" customHeight="1">
      <c r="B163" s="10">
        <f>ROW()-9</f>
        <v/>
      </c>
      <c r="C163" s="53" t="inlineStr">
        <is>
          <t>대화 프로필 화면</t>
        </is>
      </c>
      <c r="D163" s="79" t="inlineStr">
        <is>
          <t>프로필 폼</t>
        </is>
      </c>
      <c r="E163" s="31" t="inlineStr">
        <is>
          <t>설명란 프롬프트 주입 차단</t>
        </is>
      </c>
      <c r="F163" s="14" t="inlineStr"/>
      <c r="G163" s="15" t="n">
        <v>2</v>
      </c>
      <c r="H163" s="14" t="inlineStr">
        <is>
          <t>그 프로필로 대화를 시작해 응답을 확인한다</t>
        </is>
      </c>
      <c r="I163" s="14" t="inlineStr">
        <is>
          <t>지시문이 응답에 반영되지 않는다</t>
        </is>
      </c>
      <c r="J163" s="10" t="inlineStr">
        <is>
          <t>공통</t>
        </is>
      </c>
      <c r="K163" s="10" t="inlineStr">
        <is>
          <t>High</t>
        </is>
      </c>
      <c r="L163" s="16">
        <f>IF(COUNTIF(M163:M163,"Fail")&gt;0,"Fail",IF(COUNTIF(M163:M163,"Blocked")&gt;0,"Blocked",IF(COUNTIF(M163:M163,"NI")&gt;0,"NI",IF(COUNTIF(M163:M163,"Pass")&gt;0,"Pass",""))))</f>
        <v/>
      </c>
      <c r="M163" s="17" t="n"/>
      <c r="N163" s="18" t="n"/>
      <c r="O163" s="18" t="n"/>
      <c r="P163" s="14" t="n"/>
      <c r="Q163" s="10" t="inlineStr">
        <is>
          <t>TC-SAF-001</t>
        </is>
      </c>
      <c r="R163" s="10" t="inlineStr">
        <is>
          <t>금칙</t>
        </is>
      </c>
      <c r="S163" s="10" t="inlineStr">
        <is>
          <t>성인 인증</t>
        </is>
      </c>
    </row>
    <row r="164" ht="30" customHeight="1">
      <c r="B164" s="10">
        <f>ROW()-9</f>
        <v/>
      </c>
      <c r="C164" s="111" t="inlineStr">
        <is>
          <t>대화방</t>
        </is>
      </c>
      <c r="D164" s="112" t="inlineStr">
        <is>
          <t>송수신</t>
        </is>
      </c>
      <c r="E164" s="78" t="inlineStr">
        <is>
          <t>전송과 스트리밍 표시</t>
        </is>
      </c>
      <c r="F164" s="14" t="inlineStr">
        <is>
          <t>계정 A로 로그인해 대화방에 진입한 상태</t>
        </is>
      </c>
      <c r="G164" s="15" t="n">
        <v>1</v>
      </c>
      <c r="H164" s="14" t="inlineStr">
        <is>
          <t>자유 입력에 문장을 넣고 전송한다</t>
        </is>
      </c>
      <c r="I164" s="14" t="inlineStr">
        <is>
          <t>유저 메시지가 목록에 붙는다</t>
        </is>
      </c>
      <c r="J164" s="10" t="inlineStr">
        <is>
          <t>공통</t>
        </is>
      </c>
      <c r="K164" s="10" t="inlineStr">
        <is>
          <t>High</t>
        </is>
      </c>
      <c r="L164" s="16">
        <f>IF(COUNTIF(M164:M164,"Fail")&gt;0,"Fail",IF(COUNTIF(M164:M164,"Blocked")&gt;0,"Blocked",IF(COUNTIF(M164:M164,"NI")&gt;0,"NI",IF(COUNTIF(M164:M164,"Pass")&gt;0,"Pass",""))))</f>
        <v/>
      </c>
      <c r="M164" s="17" t="n"/>
      <c r="N164" s="18" t="n"/>
      <c r="O164" s="18" t="n"/>
      <c r="P164" s="14" t="inlineStr">
        <is>
          <t>대기는 고정 시간이 아니라 표시 중 표식이 사라지는 것으로 판정합니다 — 브라우저가 백그라운드 타이머를 늦춰 sleep 기반 대기는 환경에 따라 깨집니다</t>
        </is>
      </c>
      <c r="Q164" s="10" t="inlineStr">
        <is>
          <t>TC-CHT-001</t>
        </is>
      </c>
      <c r="R164" s="10" t="inlineStr">
        <is>
          <t>결정적</t>
        </is>
      </c>
      <c r="S164" s="10" t="inlineStr">
        <is>
          <t>성인 인증</t>
        </is>
      </c>
    </row>
    <row r="165" ht="30" customHeight="1">
      <c r="B165" s="10">
        <f>ROW()-9</f>
        <v/>
      </c>
      <c r="C165" s="111" t="inlineStr">
        <is>
          <t>대화방</t>
        </is>
      </c>
      <c r="D165" s="112" t="inlineStr">
        <is>
          <t>송수신</t>
        </is>
      </c>
      <c r="E165" s="78" t="inlineStr">
        <is>
          <t>전송과 스트리밍 표시</t>
        </is>
      </c>
      <c r="F165" s="19" t="n"/>
      <c r="G165" s="19" t="n"/>
      <c r="H165" s="19" t="n"/>
      <c r="I165" s="14" t="inlineStr">
        <is>
          <t>표시 중 표식이 노출된다</t>
        </is>
      </c>
      <c r="J165" s="10" t="inlineStr">
        <is>
          <t>공통</t>
        </is>
      </c>
      <c r="K165" s="10" t="inlineStr">
        <is>
          <t>High</t>
        </is>
      </c>
      <c r="L165" s="16">
        <f>IF(COUNTIF(M165:M165,"Fail")&gt;0,"Fail",IF(COUNTIF(M165:M165,"Blocked")&gt;0,"Blocked",IF(COUNTIF(M165:M165,"NI")&gt;0,"NI",IF(COUNTIF(M165:M165,"Pass")&gt;0,"Pass",""))))</f>
        <v/>
      </c>
      <c r="M165" s="17" t="n"/>
      <c r="N165" s="18" t="n"/>
      <c r="O165" s="18" t="n"/>
      <c r="P165" s="19" t="n"/>
      <c r="Q165" s="10" t="inlineStr">
        <is>
          <t>TC-CHT-001</t>
        </is>
      </c>
      <c r="R165" s="10" t="inlineStr">
        <is>
          <t>결정적</t>
        </is>
      </c>
      <c r="S165" s="10" t="inlineStr">
        <is>
          <t>성인 인증</t>
        </is>
      </c>
    </row>
    <row r="166" ht="30" customHeight="1">
      <c r="B166" s="10">
        <f>ROW()-9</f>
        <v/>
      </c>
      <c r="C166" s="111" t="inlineStr">
        <is>
          <t>대화방</t>
        </is>
      </c>
      <c r="D166" s="112" t="inlineStr">
        <is>
          <t>송수신</t>
        </is>
      </c>
      <c r="E166" s="78" t="inlineStr">
        <is>
          <t>전송과 스트리밍 표시</t>
        </is>
      </c>
      <c r="F166" s="14" t="inlineStr"/>
      <c r="G166" s="15" t="n">
        <v>2</v>
      </c>
      <c r="H166" s="14" t="inlineStr">
        <is>
          <t>응답 표시가 끝나기를 기다린다</t>
        </is>
      </c>
      <c r="I166" s="14" t="inlineStr">
        <is>
          <t>AI 응답이 목록에 붙는다</t>
        </is>
      </c>
      <c r="J166" s="10" t="inlineStr">
        <is>
          <t>공통</t>
        </is>
      </c>
      <c r="K166" s="10" t="inlineStr">
        <is>
          <t>High</t>
        </is>
      </c>
      <c r="L166" s="16">
        <f>IF(COUNTIF(M166:M166,"Fail")&gt;0,"Fail",IF(COUNTIF(M166:M166,"Blocked")&gt;0,"Blocked",IF(COUNTIF(M166:M166,"NI")&gt;0,"NI",IF(COUNTIF(M166:M166,"Pass")&gt;0,"Pass",""))))</f>
        <v/>
      </c>
      <c r="M166" s="17" t="n"/>
      <c r="N166" s="18" t="n"/>
      <c r="O166" s="18" t="n"/>
      <c r="P166" s="14" t="n"/>
      <c r="Q166" s="10" t="inlineStr">
        <is>
          <t>TC-CHT-001</t>
        </is>
      </c>
      <c r="R166" s="10" t="inlineStr">
        <is>
          <t>결정적</t>
        </is>
      </c>
      <c r="S166" s="10" t="inlineStr">
        <is>
          <t>성인 인증</t>
        </is>
      </c>
    </row>
    <row r="167" ht="30" customHeight="1">
      <c r="B167" s="10">
        <f>ROW()-9</f>
        <v/>
      </c>
      <c r="C167" s="111" t="inlineStr">
        <is>
          <t>대화방</t>
        </is>
      </c>
      <c r="D167" s="112" t="inlineStr">
        <is>
          <t>송수신</t>
        </is>
      </c>
      <c r="E167" s="78" t="inlineStr">
        <is>
          <t>전송과 스트리밍 표시</t>
        </is>
      </c>
      <c r="F167" s="14" t="n"/>
      <c r="G167" s="19" t="n"/>
      <c r="H167" s="19" t="n"/>
      <c r="I167" s="14" t="inlineStr">
        <is>
          <t>표시 중 표식이 사라진다</t>
        </is>
      </c>
      <c r="J167" s="10" t="inlineStr">
        <is>
          <t>공통</t>
        </is>
      </c>
      <c r="K167" s="10" t="inlineStr">
        <is>
          <t>High</t>
        </is>
      </c>
      <c r="L167" s="16">
        <f>IF(COUNTIF(M167:M167,"Fail")&gt;0,"Fail",IF(COUNTIF(M167:M167,"Blocked")&gt;0,"Blocked",IF(COUNTIF(M167:M167,"NI")&gt;0,"NI",IF(COUNTIF(M167:M167,"Pass")&gt;0,"Pass",""))))</f>
        <v/>
      </c>
      <c r="M167" s="17" t="n"/>
      <c r="N167" s="18" t="n"/>
      <c r="O167" s="18" t="n"/>
      <c r="P167" s="19" t="n"/>
      <c r="Q167" s="10" t="inlineStr">
        <is>
          <t>TC-CHT-001</t>
        </is>
      </c>
      <c r="R167" s="10" t="inlineStr">
        <is>
          <t>결정적</t>
        </is>
      </c>
      <c r="S167" s="10" t="inlineStr">
        <is>
          <t>성인 인증</t>
        </is>
      </c>
    </row>
    <row r="168" ht="30" customHeight="1">
      <c r="B168" s="10">
        <f>ROW()-9</f>
        <v/>
      </c>
      <c r="C168" s="111" t="inlineStr">
        <is>
          <t>대화방</t>
        </is>
      </c>
      <c r="D168" s="112" t="inlineStr">
        <is>
          <t>송수신</t>
        </is>
      </c>
      <c r="E168" s="113" t="inlineStr">
        <is>
          <t>자유 입력 상한 경계</t>
        </is>
      </c>
      <c r="F168" s="14" t="inlineStr">
        <is>
          <t>계정 A로 로그인해 대화방에 진입한 상태</t>
        </is>
      </c>
      <c r="G168" s="15" t="n">
        <v>1</v>
      </c>
      <c r="H168" s="14" t="inlineStr">
        <is>
          <t>입력창에 501자를 넣는다</t>
        </is>
      </c>
      <c r="I168" s="14" t="inlineStr">
        <is>
          <t>500자까지만 남는다</t>
        </is>
      </c>
      <c r="J168" s="10" t="inlineStr">
        <is>
          <t>공통</t>
        </is>
      </c>
      <c r="K168" s="10" t="inlineStr">
        <is>
          <t>Medium</t>
        </is>
      </c>
      <c r="L168" s="16">
        <f>IF(COUNTIF(M168:M168,"Fail")&gt;0,"Fail",IF(COUNTIF(M168:M168,"Blocked")&gt;0,"Blocked",IF(COUNTIF(M168:M168,"NI")&gt;0,"NI",IF(COUNTIF(M168:M168,"Pass")&gt;0,"Pass",""))))</f>
        <v/>
      </c>
      <c r="M168" s="17" t="n"/>
      <c r="N168" s="18" t="n"/>
      <c r="O168" s="18" t="n"/>
      <c r="P168" s="14" t="inlineStr">
        <is>
          <t>값 주입으로 넣어야 저장 경로의 자르기까지 확인됩니다. 편집칸도 같은 상한을 받습니다</t>
        </is>
      </c>
      <c r="Q168" s="10" t="inlineStr">
        <is>
          <t>TC-CHT-002</t>
        </is>
      </c>
      <c r="R168" s="10" t="inlineStr">
        <is>
          <t>결정적</t>
        </is>
      </c>
      <c r="S168" s="10" t="inlineStr">
        <is>
          <t>성인 인증</t>
        </is>
      </c>
    </row>
    <row r="169" ht="30" customHeight="1">
      <c r="B169" s="10">
        <f>ROW()-9</f>
        <v/>
      </c>
      <c r="C169" s="111" t="inlineStr">
        <is>
          <t>대화방</t>
        </is>
      </c>
      <c r="D169" s="112" t="inlineStr">
        <is>
          <t>송수신</t>
        </is>
      </c>
      <c r="E169" s="113" t="inlineStr">
        <is>
          <t>자유 입력 상한 경계</t>
        </is>
      </c>
      <c r="F169" s="19" t="n"/>
      <c r="G169" s="19" t="n"/>
      <c r="H169" s="19" t="n"/>
      <c r="I169" s="14" t="inlineStr">
        <is>
          <t>글자수 카운터가 500/500으로 노출된다</t>
        </is>
      </c>
      <c r="J169" s="10" t="inlineStr">
        <is>
          <t>공통</t>
        </is>
      </c>
      <c r="K169" s="10" t="inlineStr">
        <is>
          <t>Medium</t>
        </is>
      </c>
      <c r="L169" s="16">
        <f>IF(COUNTIF(M169:M169,"Fail")&gt;0,"Fail",IF(COUNTIF(M169:M169,"Blocked")&gt;0,"Blocked",IF(COUNTIF(M169:M169,"NI")&gt;0,"NI",IF(COUNTIF(M169:M169,"Pass")&gt;0,"Pass",""))))</f>
        <v/>
      </c>
      <c r="M169" s="17" t="n"/>
      <c r="N169" s="18" t="n"/>
      <c r="O169" s="18" t="n"/>
      <c r="P169" s="19" t="n"/>
      <c r="Q169" s="10" t="inlineStr">
        <is>
          <t>TC-CHT-002</t>
        </is>
      </c>
      <c r="R169" s="10" t="inlineStr">
        <is>
          <t>결정적</t>
        </is>
      </c>
      <c r="S169" s="10" t="inlineStr">
        <is>
          <t>성인 인증</t>
        </is>
      </c>
    </row>
    <row r="170" ht="30" customHeight="1">
      <c r="B170" s="10">
        <f>ROW()-9</f>
        <v/>
      </c>
      <c r="C170" s="111" t="inlineStr">
        <is>
          <t>대화방</t>
        </is>
      </c>
      <c r="D170" s="112" t="inlineStr">
        <is>
          <t>송수신</t>
        </is>
      </c>
      <c r="E170" s="98" t="inlineStr">
        <is>
          <t>만료 상태 전송 차단</t>
        </is>
      </c>
      <c r="F170" s="14" t="inlineStr">
        <is>
          <t>계정 A로 로그인해 대화방에 진입한 뒤 세션이 만료된 상태</t>
        </is>
      </c>
      <c r="G170" s="15" t="n">
        <v>1</v>
      </c>
      <c r="H170" s="14" t="inlineStr">
        <is>
          <t>만료 안내를 닫지 않은 채 전송을 시도한다</t>
        </is>
      </c>
      <c r="I170" s="14" t="inlineStr">
        <is>
          <t>전송이 수행되지 않는다</t>
        </is>
      </c>
      <c r="J170" s="10" t="inlineStr">
        <is>
          <t>공통</t>
        </is>
      </c>
      <c r="K170" s="10" t="inlineStr">
        <is>
          <t>High</t>
        </is>
      </c>
      <c r="L170" s="16">
        <f>IF(COUNTIF(M170:M170,"Fail")&gt;0,"Fail",IF(COUNTIF(M170:M170,"Blocked")&gt;0,"Blocked",IF(COUNTIF(M170:M170,"NI")&gt;0,"NI",IF(COUNTIF(M170:M170,"Pass")&gt;0,"Pass",""))))</f>
        <v/>
      </c>
      <c r="M170" s="17" t="n"/>
      <c r="N170" s="18" t="n"/>
      <c r="O170" s="18" t="n"/>
      <c r="P170" s="14" t="inlineStr">
        <is>
          <t>명세 §1-1의 만료 행이 차단한다고 적은 것은 전송·저장·수령입니다. 하단 내비는 만료 안내가 딤으로 덮고 있어 누를 수 없으므로 지점이 되지 못합니다</t>
        </is>
      </c>
      <c r="Q170" s="10" t="inlineStr">
        <is>
          <t>TC-ENT-004</t>
        </is>
      </c>
      <c r="R170" s="10" t="inlineStr">
        <is>
          <t>금칙</t>
        </is>
      </c>
      <c r="S170" s="10" t="inlineStr">
        <is>
          <t>세션 만료</t>
        </is>
      </c>
    </row>
    <row r="171" ht="30" customHeight="1">
      <c r="B171" s="10">
        <f>ROW()-9</f>
        <v/>
      </c>
      <c r="C171" s="111" t="inlineStr">
        <is>
          <t>대화방</t>
        </is>
      </c>
      <c r="D171" s="112" t="inlineStr">
        <is>
          <t>송수신</t>
        </is>
      </c>
      <c r="E171" s="98" t="inlineStr">
        <is>
          <t>만료 상태 전송 차단</t>
        </is>
      </c>
      <c r="F171" s="19" t="n"/>
      <c r="G171" s="19" t="n"/>
      <c r="H171" s="19" t="n"/>
      <c r="I171" s="14" t="inlineStr">
        <is>
          <t>재화가 소비되지 않는다</t>
        </is>
      </c>
      <c r="J171" s="10" t="inlineStr">
        <is>
          <t>공통</t>
        </is>
      </c>
      <c r="K171" s="10" t="inlineStr">
        <is>
          <t>High</t>
        </is>
      </c>
      <c r="L171" s="16">
        <f>IF(COUNTIF(M171:M171,"Fail")&gt;0,"Fail",IF(COUNTIF(M171:M171,"Blocked")&gt;0,"Blocked",IF(COUNTIF(M171:M171,"NI")&gt;0,"NI",IF(COUNTIF(M171:M171,"Pass")&gt;0,"Pass",""))))</f>
        <v/>
      </c>
      <c r="M171" s="17" t="n"/>
      <c r="N171" s="18" t="n"/>
      <c r="O171" s="18" t="n"/>
      <c r="P171" s="19" t="n"/>
      <c r="Q171" s="10" t="inlineStr">
        <is>
          <t>TC-ENT-004</t>
        </is>
      </c>
      <c r="R171" s="10" t="inlineStr">
        <is>
          <t>금칙</t>
        </is>
      </c>
      <c r="S171" s="10" t="inlineStr">
        <is>
          <t>세션 만료</t>
        </is>
      </c>
    </row>
    <row r="172" ht="30" customHeight="1">
      <c r="B172" s="10">
        <f>ROW()-9</f>
        <v/>
      </c>
      <c r="C172" s="111" t="inlineStr">
        <is>
          <t>대화방</t>
        </is>
      </c>
      <c r="D172" s="55" t="inlineStr">
        <is>
          <t>고정 선택지</t>
        </is>
      </c>
      <c r="E172" s="102" t="inlineStr">
        <is>
          <t>선택지 진행과 가중치</t>
        </is>
      </c>
      <c r="F172" s="14" t="inlineStr">
        <is>
          <t>계정 A로 로그인해 대화방에 진입한 상태</t>
        </is>
      </c>
      <c r="G172" s="15" t="n">
        <v>1</v>
      </c>
      <c r="H172" s="14" t="inlineStr">
        <is>
          <t>호감형 선택지를 고른다</t>
        </is>
      </c>
      <c r="I172" s="14" t="inlineStr">
        <is>
          <t>선택지 내용이 유저 메시지로 붙는다</t>
        </is>
      </c>
      <c r="J172" s="10" t="inlineStr">
        <is>
          <t>공통</t>
        </is>
      </c>
      <c r="K172" s="10" t="inlineStr">
        <is>
          <t>High</t>
        </is>
      </c>
      <c r="L172" s="16">
        <f>IF(COUNTIF(M172:M172,"Fail")&gt;0,"Fail",IF(COUNTIF(M172:M172,"Blocked")&gt;0,"Blocked",IF(COUNTIF(M172:M172,"NI")&gt;0,"NI",IF(COUNTIF(M172:M172,"Pass")&gt;0,"Pass",""))))</f>
        <v/>
      </c>
      <c r="M172" s="17" t="n"/>
      <c r="N172" s="18" t="n"/>
      <c r="O172" s="18" t="n"/>
      <c r="P172" s="14" t="inlineStr">
        <is>
          <t>가중치는 호감형 +2 · 중립 +1 · 비호감 −1입니다(§4-1). 자유 입력과 병행하는 진행 수단입니다</t>
        </is>
      </c>
      <c r="Q172" s="10" t="inlineStr">
        <is>
          <t>TC-NAR-001</t>
        </is>
      </c>
      <c r="R172" s="10" t="inlineStr">
        <is>
          <t>결정적</t>
        </is>
      </c>
      <c r="S172" s="10" t="inlineStr">
        <is>
          <t>성인 인증</t>
        </is>
      </c>
    </row>
    <row r="173" ht="30" customHeight="1">
      <c r="B173" s="10">
        <f>ROW()-9</f>
        <v/>
      </c>
      <c r="C173" s="111" t="inlineStr">
        <is>
          <t>대화방</t>
        </is>
      </c>
      <c r="D173" s="55" t="inlineStr">
        <is>
          <t>고정 선택지</t>
        </is>
      </c>
      <c r="E173" s="102" t="inlineStr">
        <is>
          <t>선택지 진행과 가중치</t>
        </is>
      </c>
      <c r="F173" s="14" t="inlineStr"/>
      <c r="G173" s="15" t="n">
        <v>2</v>
      </c>
      <c r="H173" s="14" t="inlineStr">
        <is>
          <t>현재 상태 패널의 호감도를 확인한다</t>
        </is>
      </c>
      <c r="I173" s="14" t="inlineStr">
        <is>
          <t>호감도가 2 증가한다</t>
        </is>
      </c>
      <c r="J173" s="10" t="inlineStr">
        <is>
          <t>공통</t>
        </is>
      </c>
      <c r="K173" s="10" t="inlineStr">
        <is>
          <t>High</t>
        </is>
      </c>
      <c r="L173" s="16">
        <f>IF(COUNTIF(M173:M173,"Fail")&gt;0,"Fail",IF(COUNTIF(M173:M173,"Blocked")&gt;0,"Blocked",IF(COUNTIF(M173:M173,"NI")&gt;0,"NI",IF(COUNTIF(M173:M173,"Pass")&gt;0,"Pass",""))))</f>
        <v/>
      </c>
      <c r="M173" s="17" t="n"/>
      <c r="N173" s="18" t="n"/>
      <c r="O173" s="18" t="n"/>
      <c r="P173" s="14" t="n"/>
      <c r="Q173" s="10" t="inlineStr">
        <is>
          <t>TC-NAR-001</t>
        </is>
      </c>
      <c r="R173" s="10" t="inlineStr">
        <is>
          <t>결정적</t>
        </is>
      </c>
      <c r="S173" s="10" t="inlineStr">
        <is>
          <t>성인 인증</t>
        </is>
      </c>
    </row>
    <row r="174" ht="30" customHeight="1">
      <c r="B174" s="10">
        <f>ROW()-9</f>
        <v/>
      </c>
      <c r="C174" s="111" t="inlineStr">
        <is>
          <t>대화방</t>
        </is>
      </c>
      <c r="D174" s="114" t="inlineStr">
        <is>
          <t>서사</t>
        </is>
      </c>
      <c r="E174" s="115" t="inlineStr">
        <is>
          <t>호감도 하한 0</t>
        </is>
      </c>
      <c r="F174" s="14" t="inlineStr">
        <is>
          <t>계정 A로 로그인하고 호감도가 0인 대화방에 진입한 상태</t>
        </is>
      </c>
      <c r="G174" s="15" t="n">
        <v>1</v>
      </c>
      <c r="H174" s="14" t="inlineStr">
        <is>
          <t>비호감 선택지를 고른다</t>
        </is>
      </c>
      <c r="I174" s="14" t="inlineStr">
        <is>
          <t>호감도가 0으로 유지된다</t>
        </is>
      </c>
      <c r="J174" s="10" t="inlineStr">
        <is>
          <t>공통</t>
        </is>
      </c>
      <c r="K174" s="10" t="inlineStr">
        <is>
          <t>High</t>
        </is>
      </c>
      <c r="L174" s="16">
        <f>IF(COUNTIF(M174:M174,"Fail")&gt;0,"Fail",IF(COUNTIF(M174:M174,"Blocked")&gt;0,"Blocked",IF(COUNTIF(M174:M174,"NI")&gt;0,"NI",IF(COUNTIF(M174:M174,"Pass")&gt;0,"Pass",""))))</f>
        <v/>
      </c>
      <c r="M174" s="17" t="n"/>
      <c r="N174" s="18" t="n"/>
      <c r="O174" s="18" t="n"/>
      <c r="P174" s="14" t="inlineStr">
        <is>
          <t>하한 0은 되돌림의 다시 세기 방식을 정한 근거이기도 합니다(§5-1) — 뺄셈으로 되돌리면 없던 점수가 생깁니다</t>
        </is>
      </c>
      <c r="Q174" s="10" t="inlineStr">
        <is>
          <t>TC-NAR-002</t>
        </is>
      </c>
      <c r="R174" s="10" t="inlineStr">
        <is>
          <t>결정적</t>
        </is>
      </c>
      <c r="S174" s="10" t="inlineStr">
        <is>
          <t>성인 인증</t>
        </is>
      </c>
    </row>
    <row r="175" ht="30" customHeight="1">
      <c r="B175" s="10">
        <f>ROW()-9</f>
        <v/>
      </c>
      <c r="C175" s="111" t="inlineStr">
        <is>
          <t>대화방</t>
        </is>
      </c>
      <c r="D175" s="114" t="inlineStr">
        <is>
          <t>서사</t>
        </is>
      </c>
      <c r="E175" s="115" t="inlineStr">
        <is>
          <t>호감도 하한 0</t>
        </is>
      </c>
      <c r="F175" s="19" t="n"/>
      <c r="G175" s="19" t="n"/>
      <c r="H175" s="19" t="n"/>
      <c r="I175" s="14" t="inlineStr">
        <is>
          <t>음수로 내려가지 않는다</t>
        </is>
      </c>
      <c r="J175" s="10" t="inlineStr">
        <is>
          <t>공통</t>
        </is>
      </c>
      <c r="K175" s="10" t="inlineStr">
        <is>
          <t>High</t>
        </is>
      </c>
      <c r="L175" s="16">
        <f>IF(COUNTIF(M175:M175,"Fail")&gt;0,"Fail",IF(COUNTIF(M175:M175,"Blocked")&gt;0,"Blocked",IF(COUNTIF(M175:M175,"NI")&gt;0,"NI",IF(COUNTIF(M175:M175,"Pass")&gt;0,"Pass",""))))</f>
        <v/>
      </c>
      <c r="M175" s="17" t="n"/>
      <c r="N175" s="18" t="n"/>
      <c r="O175" s="18" t="n"/>
      <c r="P175" s="19" t="n"/>
      <c r="Q175" s="10" t="inlineStr">
        <is>
          <t>TC-NAR-002</t>
        </is>
      </c>
      <c r="R175" s="10" t="inlineStr">
        <is>
          <t>결정적</t>
        </is>
      </c>
      <c r="S175" s="10" t="inlineStr">
        <is>
          <t>성인 인증</t>
        </is>
      </c>
    </row>
    <row r="176" ht="30" customHeight="1">
      <c r="B176" s="10">
        <f>ROW()-9</f>
        <v/>
      </c>
      <c r="C176" s="111" t="inlineStr">
        <is>
          <t>대화방</t>
        </is>
      </c>
      <c r="D176" s="114" t="inlineStr">
        <is>
          <t>서사</t>
        </is>
      </c>
      <c r="E176" s="54" t="inlineStr">
        <is>
          <t>관계 단계 임계 전이</t>
        </is>
      </c>
      <c r="F176" s="14" t="inlineStr">
        <is>
          <t>계정 A로 로그인하고 호감도를 19로 세운 대화방에 진입한 상태</t>
        </is>
      </c>
      <c r="G176" s="15" t="n">
        <v>1</v>
      </c>
      <c r="H176" s="14" t="inlineStr">
        <is>
          <t>호감형 선택지를 고른다</t>
        </is>
      </c>
      <c r="I176" s="14" t="inlineStr">
        <is>
          <t>호감도가 21이 된다</t>
        </is>
      </c>
      <c r="J176" s="10" t="inlineStr">
        <is>
          <t>공통</t>
        </is>
      </c>
      <c r="K176" s="10" t="inlineStr">
        <is>
          <t>High</t>
        </is>
      </c>
      <c r="L176" s="16">
        <f>IF(COUNTIF(M176:M176,"Fail")&gt;0,"Fail",IF(COUNTIF(M176:M176,"Blocked")&gt;0,"Blocked",IF(COUNTIF(M176:M176,"NI")&gt;0,"NI",IF(COUNTIF(M176:M176,"Pass")&gt;0,"Pass",""))))</f>
        <v/>
      </c>
      <c r="M176" s="17" t="n"/>
      <c r="N176" s="18" t="n"/>
      <c r="O176" s="18" t="n"/>
      <c r="P176" s="14" t="inlineStr">
        <is>
          <t>구간은 경계 0~19 · 호기심 20~59 · 애착 60~119 · 운명 120+입니다. 호감도는 디버그 콘솔의 대화방 상태에서 직접 세웁니다</t>
        </is>
      </c>
      <c r="Q176" s="10" t="inlineStr">
        <is>
          <t>TC-NAR-003</t>
        </is>
      </c>
      <c r="R176" s="10" t="inlineStr">
        <is>
          <t>결정적</t>
        </is>
      </c>
      <c r="S176" s="10" t="inlineStr">
        <is>
          <t>성인 인증</t>
        </is>
      </c>
    </row>
    <row r="177" ht="30" customHeight="1">
      <c r="B177" s="10">
        <f>ROW()-9</f>
        <v/>
      </c>
      <c r="C177" s="111" t="inlineStr">
        <is>
          <t>대화방</t>
        </is>
      </c>
      <c r="D177" s="114" t="inlineStr">
        <is>
          <t>서사</t>
        </is>
      </c>
      <c r="E177" s="54" t="inlineStr">
        <is>
          <t>관계 단계 임계 전이</t>
        </is>
      </c>
      <c r="F177" s="14" t="inlineStr"/>
      <c r="G177" s="15" t="n">
        <v>2</v>
      </c>
      <c r="H177" s="14" t="inlineStr">
        <is>
          <t>현재 상태 패널을 확인한다</t>
        </is>
      </c>
      <c r="I177" s="14" t="inlineStr">
        <is>
          <t>단계가 호기심으로 전이된다</t>
        </is>
      </c>
      <c r="J177" s="10" t="inlineStr">
        <is>
          <t>공통</t>
        </is>
      </c>
      <c r="K177" s="10" t="inlineStr">
        <is>
          <t>High</t>
        </is>
      </c>
      <c r="L177" s="16">
        <f>IF(COUNTIF(M177:M177,"Fail")&gt;0,"Fail",IF(COUNTIF(M177:M177,"Blocked")&gt;0,"Blocked",IF(COUNTIF(M177:M177,"NI")&gt;0,"NI",IF(COUNTIF(M177:M177,"Pass")&gt;0,"Pass",""))))</f>
        <v/>
      </c>
      <c r="M177" s="17" t="n"/>
      <c r="N177" s="18" t="n"/>
      <c r="O177" s="18" t="n"/>
      <c r="P177" s="14" t="n"/>
      <c r="Q177" s="10" t="inlineStr">
        <is>
          <t>TC-NAR-003</t>
        </is>
      </c>
      <c r="R177" s="10" t="inlineStr">
        <is>
          <t>결정적</t>
        </is>
      </c>
      <c r="S177" s="10" t="inlineStr">
        <is>
          <t>성인 인증</t>
        </is>
      </c>
    </row>
    <row r="178" ht="30" customHeight="1">
      <c r="B178" s="10">
        <f>ROW()-9</f>
        <v/>
      </c>
      <c r="C178" s="111" t="inlineStr">
        <is>
          <t>대화방</t>
        </is>
      </c>
      <c r="D178" s="114" t="inlineStr">
        <is>
          <t>서사</t>
        </is>
      </c>
      <c r="E178" s="115" t="inlineStr">
        <is>
          <t>단계 도달 표시</t>
        </is>
      </c>
      <c r="F178" s="14" t="inlineStr">
        <is>
          <t>계정 A로 로그인해 단계가 막 전이된 대화방에 있는 상태</t>
        </is>
      </c>
      <c r="G178" s="15" t="n">
        <v>1</v>
      </c>
      <c r="H178" s="14" t="inlineStr">
        <is>
          <t>현재 상태 패널을 확인한다</t>
        </is>
      </c>
      <c r="I178" s="14" t="inlineStr">
        <is>
          <t>새 단계명이 노출된다</t>
        </is>
      </c>
      <c r="J178" s="10" t="inlineStr">
        <is>
          <t>공통</t>
        </is>
      </c>
      <c r="K178" s="10" t="inlineStr">
        <is>
          <t>Low</t>
        </is>
      </c>
      <c r="L178" s="16">
        <f>IF(COUNTIF(M178:M178,"Fail")&gt;0,"Fail",IF(COUNTIF(M178:M178,"Blocked")&gt;0,"Blocked",IF(COUNTIF(M178:M178,"NI")&gt;0,"NI",IF(COUNTIF(M178:M178,"Pass")&gt;0,"Pass",""))))</f>
        <v/>
      </c>
      <c r="M178" s="17" t="n"/>
      <c r="N178" s="18" t="n"/>
      <c r="O178" s="18" t="n"/>
      <c r="P178" s="14" t="inlineStr">
        <is>
          <t>패널의 ⓘ에 단계 구간표가 있어 화면 안에서 기준을 읽을 수 있습니다</t>
        </is>
      </c>
      <c r="Q178" s="10" t="inlineStr">
        <is>
          <t>TC-NAR-004</t>
        </is>
      </c>
      <c r="R178" s="10" t="inlineStr">
        <is>
          <t>결정적</t>
        </is>
      </c>
      <c r="S178" s="10" t="inlineStr">
        <is>
          <t>성인 인증</t>
        </is>
      </c>
    </row>
    <row r="179" ht="30" customHeight="1">
      <c r="B179" s="10">
        <f>ROW()-9</f>
        <v/>
      </c>
      <c r="C179" s="111" t="inlineStr">
        <is>
          <t>대화방</t>
        </is>
      </c>
      <c r="D179" s="114" t="inlineStr">
        <is>
          <t>서사</t>
        </is>
      </c>
      <c r="E179" s="115" t="inlineStr">
        <is>
          <t>단계 도달 표시</t>
        </is>
      </c>
      <c r="F179" s="19" t="n"/>
      <c r="G179" s="19" t="n"/>
      <c r="H179" s="19" t="n"/>
      <c r="I179" s="14" t="inlineStr">
        <is>
          <t>도달 표시가 노출된다</t>
        </is>
      </c>
      <c r="J179" s="10" t="inlineStr">
        <is>
          <t>공통</t>
        </is>
      </c>
      <c r="K179" s="10" t="inlineStr">
        <is>
          <t>Low</t>
        </is>
      </c>
      <c r="L179" s="16">
        <f>IF(COUNTIF(M179:M179,"Fail")&gt;0,"Fail",IF(COUNTIF(M179:M179,"Blocked")&gt;0,"Blocked",IF(COUNTIF(M179:M179,"NI")&gt;0,"NI",IF(COUNTIF(M179:M179,"Pass")&gt;0,"Pass",""))))</f>
        <v/>
      </c>
      <c r="M179" s="17" t="n"/>
      <c r="N179" s="18" t="n"/>
      <c r="O179" s="18" t="n"/>
      <c r="P179" s="19" t="n"/>
      <c r="Q179" s="10" t="inlineStr">
        <is>
          <t>TC-NAR-004</t>
        </is>
      </c>
      <c r="R179" s="10" t="inlineStr">
        <is>
          <t>결정적</t>
        </is>
      </c>
      <c r="S179" s="10" t="inlineStr">
        <is>
          <t>성인 인증</t>
        </is>
      </c>
    </row>
    <row r="180" ht="30" customHeight="1">
      <c r="B180" s="10">
        <f>ROW()-9</f>
        <v/>
      </c>
      <c r="C180" s="111" t="inlineStr">
        <is>
          <t>대화방</t>
        </is>
      </c>
      <c r="D180" s="114" t="inlineStr">
        <is>
          <t>서사</t>
        </is>
      </c>
      <c r="E180" s="116" t="inlineStr">
        <is>
          <t>검사 시점 굿 엔딩 판정</t>
        </is>
      </c>
      <c r="F180" s="14" t="inlineStr">
        <is>
          <t>계정 A로 로그인하고 호감도가 120 이상인 대화방에서 10턴에 도달한 상태</t>
        </is>
      </c>
      <c r="G180" s="15" t="n">
        <v>1</v>
      </c>
      <c r="H180" s="14" t="inlineStr">
        <is>
          <t>엔딩 카드를 확인한다</t>
        </is>
      </c>
      <c r="I180" s="14" t="inlineStr">
        <is>
          <t>굿 엔딩 카드 노출된다</t>
        </is>
      </c>
      <c r="J180" s="10" t="inlineStr">
        <is>
          <t>공통</t>
        </is>
      </c>
      <c r="K180" s="10" t="inlineStr">
        <is>
          <t>High</t>
        </is>
      </c>
      <c r="L180" s="16">
        <f>IF(COUNTIF(M180:M180,"Fail")&gt;0,"Fail",IF(COUNTIF(M180:M180,"Blocked")&gt;0,"Blocked",IF(COUNTIF(M180:M180,"NI")&gt;0,"NI",IF(COUNTIF(M180:M180,"Pass")&gt;0,"Pass",""))))</f>
        <v/>
      </c>
      <c r="M180" s="17" t="n"/>
      <c r="N180" s="18" t="n"/>
      <c r="O180" s="18" t="n"/>
      <c r="P180" s="14" t="inlineStr">
        <is>
          <t>검사 시점은 10턴 이후 5턴마다이며, 그 시점의 판정은 굿만 나옵니다 — 배드는 종점 판정에서만 나옵니다(§4-2)</t>
        </is>
      </c>
      <c r="Q180" s="10" t="inlineStr">
        <is>
          <t>TC-NAR-005</t>
        </is>
      </c>
      <c r="R180" s="10" t="inlineStr">
        <is>
          <t>결정적</t>
        </is>
      </c>
      <c r="S180" s="10" t="inlineStr">
        <is>
          <t>성인 인증</t>
        </is>
      </c>
    </row>
    <row r="181" ht="30" customHeight="1">
      <c r="B181" s="10">
        <f>ROW()-9</f>
        <v/>
      </c>
      <c r="C181" s="111" t="inlineStr">
        <is>
          <t>대화방</t>
        </is>
      </c>
      <c r="D181" s="114" t="inlineStr">
        <is>
          <t>서사</t>
        </is>
      </c>
      <c r="E181" s="116" t="inlineStr">
        <is>
          <t>검사 시점 굿 엔딩 판정</t>
        </is>
      </c>
      <c r="F181" s="19" t="n"/>
      <c r="G181" s="19" t="n"/>
      <c r="H181" s="19" t="n"/>
      <c r="I181" s="14" t="inlineStr">
        <is>
          <t>이후 입력이 차단된다</t>
        </is>
      </c>
      <c r="J181" s="10" t="inlineStr">
        <is>
          <t>공통</t>
        </is>
      </c>
      <c r="K181" s="10" t="inlineStr">
        <is>
          <t>High</t>
        </is>
      </c>
      <c r="L181" s="16">
        <f>IF(COUNTIF(M181:M181,"Fail")&gt;0,"Fail",IF(COUNTIF(M181:M181,"Blocked")&gt;0,"Blocked",IF(COUNTIF(M181:M181,"NI")&gt;0,"NI",IF(COUNTIF(M181:M181,"Pass")&gt;0,"Pass",""))))</f>
        <v/>
      </c>
      <c r="M181" s="17" t="n"/>
      <c r="N181" s="18" t="n"/>
      <c r="O181" s="18" t="n"/>
      <c r="P181" s="19" t="n"/>
      <c r="Q181" s="10" t="inlineStr">
        <is>
          <t>TC-NAR-005</t>
        </is>
      </c>
      <c r="R181" s="10" t="inlineStr">
        <is>
          <t>결정적</t>
        </is>
      </c>
      <c r="S181" s="10" t="inlineStr">
        <is>
          <t>성인 인증</t>
        </is>
      </c>
    </row>
    <row r="182" ht="30" customHeight="1">
      <c r="B182" s="10">
        <f>ROW()-9</f>
        <v/>
      </c>
      <c r="C182" s="111" t="inlineStr">
        <is>
          <t>대화방</t>
        </is>
      </c>
      <c r="D182" s="114" t="inlineStr">
        <is>
          <t>서사</t>
        </is>
      </c>
      <c r="E182" s="117" t="inlineStr">
        <is>
          <t>종점 배드 엔딩 판정</t>
        </is>
      </c>
      <c r="F182" s="14" t="inlineStr">
        <is>
          <t>계정 A로 로그인하고 호감도가 20 미만인 채 mock 경로 종점에 도달한 상태</t>
        </is>
      </c>
      <c r="G182" s="15" t="n">
        <v>1</v>
      </c>
      <c r="H182" s="14" t="inlineStr">
        <is>
          <t>엔딩 카드를 확인한다</t>
        </is>
      </c>
      <c r="I182" s="14" t="inlineStr">
        <is>
          <t>배드 엔딩 카드 노출된다</t>
        </is>
      </c>
      <c r="J182" s="10" t="inlineStr">
        <is>
          <t>공통</t>
        </is>
      </c>
      <c r="K182" s="10" t="inlineStr">
        <is>
          <t>High</t>
        </is>
      </c>
      <c r="L182" s="16">
        <f>IF(COUNTIF(M182:M182,"Fail")&gt;0,"Fail",IF(COUNTIF(M182:M182,"Blocked")&gt;0,"Blocked",IF(COUNTIF(M182:M182,"NI")&gt;0,"NI",IF(COUNTIF(M182:M182,"Pass")&gt;0,"Pass",""))))</f>
        <v/>
      </c>
      <c r="M182" s="17" t="n"/>
      <c r="N182" s="18" t="n"/>
      <c r="O182" s="18" t="n"/>
      <c r="P182" s="14" t="inlineStr">
        <is>
          <t>종점 판정은 120 이상 굿 / 20 미만 배드 / 그 외 노멀입니다. 전용 mock 세트는 검사 시점 둘을 지나도록 15턴입니다</t>
        </is>
      </c>
      <c r="Q182" s="10" t="inlineStr">
        <is>
          <t>TC-NAR-006</t>
        </is>
      </c>
      <c r="R182" s="10" t="inlineStr">
        <is>
          <t>결정적</t>
        </is>
      </c>
      <c r="S182" s="10" t="inlineStr">
        <is>
          <t>성인 인증</t>
        </is>
      </c>
    </row>
    <row r="183" ht="30" customHeight="1">
      <c r="B183" s="10">
        <f>ROW()-9</f>
        <v/>
      </c>
      <c r="C183" s="111" t="inlineStr">
        <is>
          <t>대화방</t>
        </is>
      </c>
      <c r="D183" s="118" t="inlineStr">
        <is>
          <t>되돌림</t>
        </is>
      </c>
      <c r="E183" s="119" t="inlineStr">
        <is>
          <t>액션 노출 범위</t>
        </is>
      </c>
      <c r="F183" s="14" t="inlineStr">
        <is>
          <t>계정 A로 로그인해 3턴 이상 진행한 대화방에 있는 상태</t>
        </is>
      </c>
      <c r="G183" s="15" t="n">
        <v>1</v>
      </c>
      <c r="H183" s="14" t="inlineStr">
        <is>
          <t>최신 교환의 메시지를 확인한다</t>
        </is>
      </c>
      <c r="I183" s="14" t="inlineStr">
        <is>
          <t>편집·삭제·재생성 액션이 노출된다</t>
        </is>
      </c>
      <c r="J183" s="10" t="inlineStr">
        <is>
          <t>공통</t>
        </is>
      </c>
      <c r="K183" s="10" t="inlineStr">
        <is>
          <t>High</t>
        </is>
      </c>
      <c r="L183" s="16">
        <f>IF(COUNTIF(M183:M183,"Fail")&gt;0,"Fail",IF(COUNTIF(M183:M183,"Blocked")&gt;0,"Blocked",IF(COUNTIF(M183:M183,"NI")&gt;0,"NI",IF(COUNTIF(M183:M183,"Pass")&gt;0,"Pass",""))))</f>
        <v/>
      </c>
      <c r="M183" s="17" t="n"/>
      <c r="N183" s="18" t="n"/>
      <c r="O183" s="18" t="n"/>
      <c r="P183" s="14" t="inlineStr">
        <is>
          <t>과거 턴에서 되돌림 셀렉터가 잡히면 실패입니다 — 과거 시점 개입은 분기가 담당합니다</t>
        </is>
      </c>
      <c r="Q183" s="10" t="inlineStr">
        <is>
          <t>TC-CHT-003</t>
        </is>
      </c>
      <c r="R183" s="10" t="inlineStr">
        <is>
          <t>금칙</t>
        </is>
      </c>
      <c r="S183" s="10" t="inlineStr">
        <is>
          <t>성인 인증</t>
        </is>
      </c>
    </row>
    <row r="184" ht="30" customHeight="1">
      <c r="B184" s="10">
        <f>ROW()-9</f>
        <v/>
      </c>
      <c r="C184" s="111" t="inlineStr">
        <is>
          <t>대화방</t>
        </is>
      </c>
      <c r="D184" s="118" t="inlineStr">
        <is>
          <t>되돌림</t>
        </is>
      </c>
      <c r="E184" s="119" t="inlineStr">
        <is>
          <t>액션 노출 범위</t>
        </is>
      </c>
      <c r="F184" s="14" t="inlineStr"/>
      <c r="G184" s="15" t="n">
        <v>2</v>
      </c>
      <c r="H184" s="14" t="inlineStr">
        <is>
          <t>과거 턴의 메시지를 확인한다</t>
        </is>
      </c>
      <c r="I184" s="14" t="inlineStr">
        <is>
          <t>편집·삭제·재생성 액션이 노출되지 않는다</t>
        </is>
      </c>
      <c r="J184" s="10" t="inlineStr">
        <is>
          <t>공통</t>
        </is>
      </c>
      <c r="K184" s="10" t="inlineStr">
        <is>
          <t>High</t>
        </is>
      </c>
      <c r="L184" s="16">
        <f>IF(COUNTIF(M184:M184,"Fail")&gt;0,"Fail",IF(COUNTIF(M184:M184,"Blocked")&gt;0,"Blocked",IF(COUNTIF(M184:M184,"NI")&gt;0,"NI",IF(COUNTIF(M184:M184,"Pass")&gt;0,"Pass",""))))</f>
        <v/>
      </c>
      <c r="M184" s="17" t="n"/>
      <c r="N184" s="18" t="n"/>
      <c r="O184" s="18" t="n"/>
      <c r="P184" s="14" t="n"/>
      <c r="Q184" s="10" t="inlineStr">
        <is>
          <t>TC-CHT-003</t>
        </is>
      </c>
      <c r="R184" s="10" t="inlineStr">
        <is>
          <t>금칙</t>
        </is>
      </c>
      <c r="S184" s="10" t="inlineStr">
        <is>
          <t>성인 인증</t>
        </is>
      </c>
    </row>
    <row r="185" ht="30" customHeight="1">
      <c r="B185" s="10">
        <f>ROW()-9</f>
        <v/>
      </c>
      <c r="C185" s="111" t="inlineStr">
        <is>
          <t>대화방</t>
        </is>
      </c>
      <c r="D185" s="118" t="inlineStr">
        <is>
          <t>되돌림</t>
        </is>
      </c>
      <c r="E185" s="119" t="inlineStr">
        <is>
          <t>액션 노출 범위</t>
        </is>
      </c>
      <c r="F185" s="14" t="n"/>
      <c r="G185" s="19" t="n"/>
      <c r="H185" s="19" t="n"/>
      <c r="I185" s="14" t="inlineStr">
        <is>
          <t>이 지점에서 분기만 노출된다</t>
        </is>
      </c>
      <c r="J185" s="10" t="inlineStr">
        <is>
          <t>공통</t>
        </is>
      </c>
      <c r="K185" s="10" t="inlineStr">
        <is>
          <t>High</t>
        </is>
      </c>
      <c r="L185" s="16">
        <f>IF(COUNTIF(M185:M185,"Fail")&gt;0,"Fail",IF(COUNTIF(M185:M185,"Blocked")&gt;0,"Blocked",IF(COUNTIF(M185:M185,"NI")&gt;0,"NI",IF(COUNTIF(M185:M185,"Pass")&gt;0,"Pass",""))))</f>
        <v/>
      </c>
      <c r="M185" s="17" t="n"/>
      <c r="N185" s="18" t="n"/>
      <c r="O185" s="18" t="n"/>
      <c r="P185" s="19" t="n"/>
      <c r="Q185" s="10" t="inlineStr">
        <is>
          <t>TC-CHT-003</t>
        </is>
      </c>
      <c r="R185" s="10" t="inlineStr">
        <is>
          <t>금칙</t>
        </is>
      </c>
      <c r="S185" s="10" t="inlineStr">
        <is>
          <t>성인 인증</t>
        </is>
      </c>
    </row>
    <row r="186" ht="30" customHeight="1">
      <c r="B186" s="10">
        <f>ROW()-9</f>
        <v/>
      </c>
      <c r="C186" s="111" t="inlineStr">
        <is>
          <t>대화방</t>
        </is>
      </c>
      <c r="D186" s="118" t="inlineStr">
        <is>
          <t>되돌림</t>
        </is>
      </c>
      <c r="E186" s="120" t="inlineStr">
        <is>
          <t>교환 삭제와 재계산</t>
        </is>
      </c>
      <c r="F186" s="14" t="inlineStr">
        <is>
          <t>계정 A로 로그인해 여러 턴 진행한 대화방에 있는 상태</t>
        </is>
      </c>
      <c r="G186" s="15" t="n">
        <v>1</v>
      </c>
      <c r="H186" s="14" t="inlineStr">
        <is>
          <t>최신 교환의 삭제를 선택한다</t>
        </is>
      </c>
      <c r="I186" s="14" t="inlineStr">
        <is>
          <t>확인 모달 노출된다</t>
        </is>
      </c>
      <c r="J186" s="10" t="inlineStr">
        <is>
          <t>공통</t>
        </is>
      </c>
      <c r="K186" s="10" t="inlineStr">
        <is>
          <t>High</t>
        </is>
      </c>
      <c r="L186" s="16">
        <f>IF(COUNTIF(M186:M186,"Fail")&gt;0,"Fail",IF(COUNTIF(M186:M186,"Blocked")&gt;0,"Blocked",IF(COUNTIF(M186:M186,"NI")&gt;0,"NI",IF(COUNTIF(M186:M186,"Pass")&gt;0,"Pass",""))))</f>
        <v/>
      </c>
      <c r="M186" s="17" t="n"/>
      <c r="N186" s="18" t="n"/>
      <c r="O186" s="18" t="n"/>
      <c r="P186" s="14" t="inlineStr">
        <is>
          <t>삭제 단위는 교환 통째입니다. 되돌린 뒤 상태는 처음부터 그렇게 대화했을 때의 상태와 같아야 합니다(§5-1)</t>
        </is>
      </c>
      <c r="Q186" s="10" t="inlineStr">
        <is>
          <t>TC-CHT-004</t>
        </is>
      </c>
      <c r="R186" s="10" t="inlineStr">
        <is>
          <t>금칙</t>
        </is>
      </c>
      <c r="S186" s="10" t="inlineStr">
        <is>
          <t>성인 인증</t>
        </is>
      </c>
    </row>
    <row r="187" ht="30" customHeight="1">
      <c r="B187" s="10">
        <f>ROW()-9</f>
        <v/>
      </c>
      <c r="C187" s="111" t="inlineStr">
        <is>
          <t>대화방</t>
        </is>
      </c>
      <c r="D187" s="118" t="inlineStr">
        <is>
          <t>되돌림</t>
        </is>
      </c>
      <c r="E187" s="120" t="inlineStr">
        <is>
          <t>교환 삭제와 재계산</t>
        </is>
      </c>
      <c r="F187" s="14" t="inlineStr"/>
      <c r="G187" s="15" t="n">
        <v>2</v>
      </c>
      <c r="H187" s="14" t="inlineStr">
        <is>
          <t>확인 모달에서 진행한다</t>
        </is>
      </c>
      <c r="I187" s="14" t="inlineStr">
        <is>
          <t>유저 메시지와 AI 응답이 한 쌍으로 지워진다</t>
        </is>
      </c>
      <c r="J187" s="10" t="inlineStr">
        <is>
          <t>공통</t>
        </is>
      </c>
      <c r="K187" s="10" t="inlineStr">
        <is>
          <t>High</t>
        </is>
      </c>
      <c r="L187" s="16">
        <f>IF(COUNTIF(M187:M187,"Fail")&gt;0,"Fail",IF(COUNTIF(M187:M187,"Blocked")&gt;0,"Blocked",IF(COUNTIF(M187:M187,"NI")&gt;0,"NI",IF(COUNTIF(M187:M187,"Pass")&gt;0,"Pass",""))))</f>
        <v/>
      </c>
      <c r="M187" s="17" t="n"/>
      <c r="N187" s="18" t="n"/>
      <c r="O187" s="18" t="n"/>
      <c r="P187" s="14" t="n"/>
      <c r="Q187" s="10" t="inlineStr">
        <is>
          <t>TC-CHT-004</t>
        </is>
      </c>
      <c r="R187" s="10" t="inlineStr">
        <is>
          <t>금칙</t>
        </is>
      </c>
      <c r="S187" s="10" t="inlineStr">
        <is>
          <t>성인 인증</t>
        </is>
      </c>
    </row>
    <row r="188" ht="30" customHeight="1">
      <c r="B188" s="10">
        <f>ROW()-9</f>
        <v/>
      </c>
      <c r="C188" s="111" t="inlineStr">
        <is>
          <t>대화방</t>
        </is>
      </c>
      <c r="D188" s="118" t="inlineStr">
        <is>
          <t>되돌림</t>
        </is>
      </c>
      <c r="E188" s="120" t="inlineStr">
        <is>
          <t>교환 삭제와 재계산</t>
        </is>
      </c>
      <c r="F188" s="14" t="n"/>
      <c r="G188" s="50" t="n"/>
      <c r="H188" s="50" t="n"/>
      <c r="I188" s="14" t="inlineStr">
        <is>
          <t>호감도가 남은 기록만으로 다시 계산된다</t>
        </is>
      </c>
      <c r="J188" s="10" t="inlineStr">
        <is>
          <t>공통</t>
        </is>
      </c>
      <c r="K188" s="10" t="inlineStr">
        <is>
          <t>High</t>
        </is>
      </c>
      <c r="L188" s="16">
        <f>IF(COUNTIF(M188:M188,"Fail")&gt;0,"Fail",IF(COUNTIF(M188:M188,"Blocked")&gt;0,"Blocked",IF(COUNTIF(M188:M188,"NI")&gt;0,"NI",IF(COUNTIF(M188:M188,"Pass")&gt;0,"Pass",""))))</f>
        <v/>
      </c>
      <c r="M188" s="17" t="n"/>
      <c r="N188" s="18" t="n"/>
      <c r="O188" s="18" t="n"/>
      <c r="P188" s="50" t="n"/>
      <c r="Q188" s="10" t="inlineStr">
        <is>
          <t>TC-CHT-004</t>
        </is>
      </c>
      <c r="R188" s="10" t="inlineStr">
        <is>
          <t>금칙</t>
        </is>
      </c>
      <c r="S188" s="10" t="inlineStr">
        <is>
          <t>성인 인증</t>
        </is>
      </c>
    </row>
    <row r="189" ht="30" customHeight="1">
      <c r="B189" s="10">
        <f>ROW()-9</f>
        <v/>
      </c>
      <c r="C189" s="111" t="inlineStr">
        <is>
          <t>대화방</t>
        </is>
      </c>
      <c r="D189" s="118" t="inlineStr">
        <is>
          <t>되돌림</t>
        </is>
      </c>
      <c r="E189" s="120" t="inlineStr">
        <is>
          <t>교환 삭제와 재계산</t>
        </is>
      </c>
      <c r="F189" s="14" t="n"/>
      <c r="G189" s="19" t="n"/>
      <c r="H189" s="19" t="n"/>
      <c r="I189" s="14" t="inlineStr">
        <is>
          <t>대화수가 함께 줄어든다</t>
        </is>
      </c>
      <c r="J189" s="10" t="inlineStr">
        <is>
          <t>공통</t>
        </is>
      </c>
      <c r="K189" s="10" t="inlineStr">
        <is>
          <t>High</t>
        </is>
      </c>
      <c r="L189" s="16">
        <f>IF(COUNTIF(M189:M189,"Fail")&gt;0,"Fail",IF(COUNTIF(M189:M189,"Blocked")&gt;0,"Blocked",IF(COUNTIF(M189:M189,"NI")&gt;0,"NI",IF(COUNTIF(M189:M189,"Pass")&gt;0,"Pass",""))))</f>
        <v/>
      </c>
      <c r="M189" s="17" t="n"/>
      <c r="N189" s="18" t="n"/>
      <c r="O189" s="18" t="n"/>
      <c r="P189" s="19" t="n"/>
      <c r="Q189" s="10" t="inlineStr">
        <is>
          <t>TC-CHT-004</t>
        </is>
      </c>
      <c r="R189" s="10" t="inlineStr">
        <is>
          <t>금칙</t>
        </is>
      </c>
      <c r="S189" s="10" t="inlineStr">
        <is>
          <t>성인 인증</t>
        </is>
      </c>
    </row>
    <row r="190" ht="30" customHeight="1">
      <c r="B190" s="10">
        <f>ROW()-9</f>
        <v/>
      </c>
      <c r="C190" s="111" t="inlineStr">
        <is>
          <t>대화방</t>
        </is>
      </c>
      <c r="D190" s="118" t="inlineStr">
        <is>
          <t>되돌림</t>
        </is>
      </c>
      <c r="E190" s="121" t="inlineStr">
        <is>
          <t>메시지 편집 후 재생성</t>
        </is>
      </c>
      <c r="F190" s="14" t="inlineStr">
        <is>
          <t>계정 A로 로그인해 여러 턴 진행한 대화방에 있는 상태</t>
        </is>
      </c>
      <c r="G190" s="15" t="n">
        <v>1</v>
      </c>
      <c r="H190" s="14" t="inlineStr">
        <is>
          <t>최신 유저 메시지의 편집을 선택한다</t>
        </is>
      </c>
      <c r="I190" s="14" t="inlineStr">
        <is>
          <t>편집칸 노출된다</t>
        </is>
      </c>
      <c r="J190" s="10" t="inlineStr">
        <is>
          <t>공통</t>
        </is>
      </c>
      <c r="K190" s="10" t="inlineStr">
        <is>
          <t>Medium</t>
        </is>
      </c>
      <c r="L190" s="16">
        <f>IF(COUNTIF(M190:M190,"Fail")&gt;0,"Fail",IF(COUNTIF(M190:M190,"Blocked")&gt;0,"Blocked",IF(COUNTIF(M190:M190,"NI")&gt;0,"NI",IF(COUNTIF(M190:M190,"Pass")&gt;0,"Pass",""))))</f>
        <v/>
      </c>
      <c r="M190" s="17" t="n"/>
      <c r="N190" s="18" t="n"/>
      <c r="O190" s="18" t="n"/>
      <c r="P190" s="14" t="inlineStr">
        <is>
          <t>편집 횟수 제한은 없습니다 — 노출이 최신 교환으로 이미 좁혀져 있기 때문입니다. 편집칸은 자유 입력과 같은 상한을 받습니다</t>
        </is>
      </c>
      <c r="Q190" s="10" t="inlineStr">
        <is>
          <t>TC-CHT-005</t>
        </is>
      </c>
      <c r="R190" s="10" t="inlineStr">
        <is>
          <t>결정적</t>
        </is>
      </c>
      <c r="S190" s="10" t="inlineStr">
        <is>
          <t>성인 인증</t>
        </is>
      </c>
    </row>
    <row r="191" ht="30" customHeight="1">
      <c r="B191" s="10">
        <f>ROW()-9</f>
        <v/>
      </c>
      <c r="C191" s="111" t="inlineStr">
        <is>
          <t>대화방</t>
        </is>
      </c>
      <c r="D191" s="118" t="inlineStr">
        <is>
          <t>되돌림</t>
        </is>
      </c>
      <c r="E191" s="121" t="inlineStr">
        <is>
          <t>메시지 편집 후 재생성</t>
        </is>
      </c>
      <c r="F191" s="14" t="inlineStr"/>
      <c r="G191" s="15" t="n">
        <v>2</v>
      </c>
      <c r="H191" s="14" t="inlineStr">
        <is>
          <t>내용을 고쳐 저장한다</t>
        </is>
      </c>
      <c r="I191" s="14" t="inlineStr">
        <is>
          <t>AI 응답이 재생성된다</t>
        </is>
      </c>
      <c r="J191" s="10" t="inlineStr">
        <is>
          <t>공통</t>
        </is>
      </c>
      <c r="K191" s="10" t="inlineStr">
        <is>
          <t>Medium</t>
        </is>
      </c>
      <c r="L191" s="16">
        <f>IF(COUNTIF(M191:M191,"Fail")&gt;0,"Fail",IF(COUNTIF(M191:M191,"Blocked")&gt;0,"Blocked",IF(COUNTIF(M191:M191,"NI")&gt;0,"NI",IF(COUNTIF(M191:M191,"Pass")&gt;0,"Pass",""))))</f>
        <v/>
      </c>
      <c r="M191" s="17" t="n"/>
      <c r="N191" s="18" t="n"/>
      <c r="O191" s="18" t="n"/>
      <c r="P191" s="14" t="n"/>
      <c r="Q191" s="10" t="inlineStr">
        <is>
          <t>TC-CHT-005</t>
        </is>
      </c>
      <c r="R191" s="10" t="inlineStr">
        <is>
          <t>결정적</t>
        </is>
      </c>
      <c r="S191" s="10" t="inlineStr">
        <is>
          <t>성인 인증</t>
        </is>
      </c>
    </row>
    <row r="192" ht="30" customHeight="1">
      <c r="B192" s="10">
        <f>ROW()-9</f>
        <v/>
      </c>
      <c r="C192" s="111" t="inlineStr">
        <is>
          <t>대화방</t>
        </is>
      </c>
      <c r="D192" s="118" t="inlineStr">
        <is>
          <t>되돌림</t>
        </is>
      </c>
      <c r="E192" s="121" t="inlineStr">
        <is>
          <t>메시지 편집 후 재생성</t>
        </is>
      </c>
      <c r="F192" s="14" t="n"/>
      <c r="G192" s="19" t="n"/>
      <c r="H192" s="19" t="n"/>
      <c r="I192" s="14" t="inlineStr">
        <is>
          <t>호감도가 새 응답 기준으로 재계산된다</t>
        </is>
      </c>
      <c r="J192" s="10" t="inlineStr">
        <is>
          <t>공통</t>
        </is>
      </c>
      <c r="K192" s="10" t="inlineStr">
        <is>
          <t>Medium</t>
        </is>
      </c>
      <c r="L192" s="16">
        <f>IF(COUNTIF(M192:M192,"Fail")&gt;0,"Fail",IF(COUNTIF(M192:M192,"Blocked")&gt;0,"Blocked",IF(COUNTIF(M192:M192,"NI")&gt;0,"NI",IF(COUNTIF(M192:M192,"Pass")&gt;0,"Pass",""))))</f>
        <v/>
      </c>
      <c r="M192" s="17" t="n"/>
      <c r="N192" s="18" t="n"/>
      <c r="O192" s="18" t="n"/>
      <c r="P192" s="19" t="n"/>
      <c r="Q192" s="10" t="inlineStr">
        <is>
          <t>TC-CHT-005</t>
        </is>
      </c>
      <c r="R192" s="10" t="inlineStr">
        <is>
          <t>결정적</t>
        </is>
      </c>
      <c r="S192" s="10" t="inlineStr">
        <is>
          <t>성인 인증</t>
        </is>
      </c>
    </row>
    <row r="193" ht="30" customHeight="1">
      <c r="B193" s="10">
        <f>ROW()-9</f>
        <v/>
      </c>
      <c r="C193" s="111" t="inlineStr">
        <is>
          <t>대화방</t>
        </is>
      </c>
      <c r="D193" s="118" t="inlineStr">
        <is>
          <t>되돌림</t>
        </is>
      </c>
      <c r="E193" s="122" t="inlineStr">
        <is>
          <t>AI 응답 재생성과 맥락 격리</t>
        </is>
      </c>
      <c r="F193" s="14" t="inlineStr">
        <is>
          <t>계정 A로 로그인해 여러 턴 진행한 대화방에 있는 상태</t>
        </is>
      </c>
      <c r="G193" s="15" t="n">
        <v>1</v>
      </c>
      <c r="H193" s="14" t="inlineStr">
        <is>
          <t>재생성을 선택한다</t>
        </is>
      </c>
      <c r="I193" s="14" t="inlineStr">
        <is>
          <t>다른 응답으로 바뀐다</t>
        </is>
      </c>
      <c r="J193" s="10" t="inlineStr">
        <is>
          <t>공통</t>
        </is>
      </c>
      <c r="K193" s="10" t="inlineStr">
        <is>
          <t>High</t>
        </is>
      </c>
      <c r="L193" s="16">
        <f>IF(COUNTIF(M193:M193,"Fail")&gt;0,"Fail",IF(COUNTIF(M193:M193,"Blocked")&gt;0,"Blocked",IF(COUNTIF(M193:M193,"NI")&gt;0,"NI",IF(COUNTIF(M193:M193,"Pass")&gt;0,"Pass",""))))</f>
        <v/>
      </c>
      <c r="M193" s="17" t="n"/>
      <c r="N193" s="18" t="n"/>
      <c r="O193" s="18" t="n"/>
      <c r="P193" s="14" t="inlineStr">
        <is>
          <t>재생성은 후보를 한 칸 미는 것이라 난수가 없습니다 — 몇 번째 재생성인지가 정해지면 결과도 정해집니다</t>
        </is>
      </c>
      <c r="Q193" s="10" t="inlineStr">
        <is>
          <t>TC-CHT-006</t>
        </is>
      </c>
      <c r="R193" s="10" t="inlineStr">
        <is>
          <t>결정적</t>
        </is>
      </c>
      <c r="S193" s="10" t="inlineStr">
        <is>
          <t>성인 인증</t>
        </is>
      </c>
    </row>
    <row r="194" ht="30" customHeight="1">
      <c r="B194" s="10">
        <f>ROW()-9</f>
        <v/>
      </c>
      <c r="C194" s="111" t="inlineStr">
        <is>
          <t>대화방</t>
        </is>
      </c>
      <c r="D194" s="118" t="inlineStr">
        <is>
          <t>되돌림</t>
        </is>
      </c>
      <c r="E194" s="122" t="inlineStr">
        <is>
          <t>AI 응답 재생성과 맥락 격리</t>
        </is>
      </c>
      <c r="F194" s="19" t="n"/>
      <c r="G194" s="19" t="n"/>
      <c r="H194" s="19" t="n"/>
      <c r="I194" s="14" t="inlineStr">
        <is>
          <t>버려진 응답의 기여분이 취소된다</t>
        </is>
      </c>
      <c r="J194" s="10" t="inlineStr">
        <is>
          <t>공통</t>
        </is>
      </c>
      <c r="K194" s="10" t="inlineStr">
        <is>
          <t>High</t>
        </is>
      </c>
      <c r="L194" s="16">
        <f>IF(COUNTIF(M194:M194,"Fail")&gt;0,"Fail",IF(COUNTIF(M194:M194,"Blocked")&gt;0,"Blocked",IF(COUNTIF(M194:M194,"NI")&gt;0,"NI",IF(COUNTIF(M194:M194,"Pass")&gt;0,"Pass",""))))</f>
        <v/>
      </c>
      <c r="M194" s="17" t="n"/>
      <c r="N194" s="18" t="n"/>
      <c r="O194" s="18" t="n"/>
      <c r="P194" s="19" t="n"/>
      <c r="Q194" s="10" t="inlineStr">
        <is>
          <t>TC-CHT-006</t>
        </is>
      </c>
      <c r="R194" s="10" t="inlineStr">
        <is>
          <t>결정적</t>
        </is>
      </c>
      <c r="S194" s="10" t="inlineStr">
        <is>
          <t>성인 인증</t>
        </is>
      </c>
    </row>
    <row r="195" ht="30" customHeight="1">
      <c r="B195" s="10">
        <f>ROW()-9</f>
        <v/>
      </c>
      <c r="C195" s="111" t="inlineStr">
        <is>
          <t>대화방</t>
        </is>
      </c>
      <c r="D195" s="118" t="inlineStr">
        <is>
          <t>되돌림</t>
        </is>
      </c>
      <c r="E195" s="122" t="inlineStr">
        <is>
          <t>AI 응답 재생성과 맥락 격리</t>
        </is>
      </c>
      <c r="F195" s="14" t="inlineStr"/>
      <c r="G195" s="15" t="n">
        <v>2</v>
      </c>
      <c r="H195" s="14" t="inlineStr">
        <is>
          <t>다음 턴을 전송해 응답을 확인한다</t>
        </is>
      </c>
      <c r="I195" s="14" t="inlineStr">
        <is>
          <t>버려진 응답이 이후 맥락에 포함되지 않는다</t>
        </is>
      </c>
      <c r="J195" s="10" t="inlineStr">
        <is>
          <t>공통</t>
        </is>
      </c>
      <c r="K195" s="10" t="inlineStr">
        <is>
          <t>High</t>
        </is>
      </c>
      <c r="L195" s="16">
        <f>IF(COUNTIF(M195:M195,"Fail")&gt;0,"Fail",IF(COUNTIF(M195:M195,"Blocked")&gt;0,"Blocked",IF(COUNTIF(M195:M195,"NI")&gt;0,"NI",IF(COUNTIF(M195:M195,"Pass")&gt;0,"Pass",""))))</f>
        <v/>
      </c>
      <c r="M195" s="17" t="n"/>
      <c r="N195" s="18" t="n"/>
      <c r="O195" s="18" t="n"/>
      <c r="P195" s="14" t="n"/>
      <c r="Q195" s="10" t="inlineStr">
        <is>
          <t>TC-CHT-006</t>
        </is>
      </c>
      <c r="R195" s="10" t="inlineStr">
        <is>
          <t>결정적</t>
        </is>
      </c>
      <c r="S195" s="10" t="inlineStr">
        <is>
          <t>성인 인증</t>
        </is>
      </c>
    </row>
    <row r="196" ht="30" customHeight="1">
      <c r="B196" s="10">
        <f>ROW()-9</f>
        <v/>
      </c>
      <c r="C196" s="111" t="inlineStr">
        <is>
          <t>대화방</t>
        </is>
      </c>
      <c r="D196" s="118" t="inlineStr">
        <is>
          <t>되돌림</t>
        </is>
      </c>
      <c r="E196" s="123" t="inlineStr">
        <is>
          <t>재생성 재차감</t>
        </is>
      </c>
      <c r="F196" s="14" t="inlineStr">
        <is>
          <t>계정 A로 로그인해 대화방에 있는 상태</t>
        </is>
      </c>
      <c r="G196" s="15" t="n">
        <v>1</v>
      </c>
      <c r="H196" s="14" t="inlineStr">
        <is>
          <t>잔액을 확인하고 재생성을 선택한다</t>
        </is>
      </c>
      <c r="I196" s="14" t="inlineStr">
        <is>
          <t>전송과 같은 요율로 다시 차감된다</t>
        </is>
      </c>
      <c r="J196" s="10" t="inlineStr">
        <is>
          <t>공통</t>
        </is>
      </c>
      <c r="K196" s="10" t="inlineStr">
        <is>
          <t>High</t>
        </is>
      </c>
      <c r="L196" s="16">
        <f>IF(COUNTIF(M196:M196,"Fail")&gt;0,"Fail",IF(COUNTIF(M196:M196,"Blocked")&gt;0,"Blocked",IF(COUNTIF(M196:M196,"NI")&gt;0,"NI",IF(COUNTIF(M196:M196,"Pass")&gt;0,"Pass",""))))</f>
        <v/>
      </c>
      <c r="M196" s="17" t="n"/>
      <c r="N196" s="18" t="n"/>
      <c r="O196" s="18" t="n"/>
      <c r="P196" s="14" t="inlineStr">
        <is>
          <t>새 응답을 만드는 모든 경로가 차감합니다. 되돌림으로 재화가 환급되지는 않습니다 — 되돌림은 대화 상태의 규칙이고 재화는 계정 스코프의 규칙입니다</t>
        </is>
      </c>
      <c r="Q196" s="10" t="inlineStr">
        <is>
          <t>TC-CUR-001</t>
        </is>
      </c>
      <c r="R196" s="10" t="inlineStr">
        <is>
          <t>결정적</t>
        </is>
      </c>
      <c r="S196" s="10" t="inlineStr">
        <is>
          <t>성인 인증</t>
        </is>
      </c>
    </row>
    <row r="197" ht="30" customHeight="1">
      <c r="B197" s="10">
        <f>ROW()-9</f>
        <v/>
      </c>
      <c r="C197" s="111" t="inlineStr">
        <is>
          <t>대화방</t>
        </is>
      </c>
      <c r="D197" s="118" t="inlineStr">
        <is>
          <t>되돌림</t>
        </is>
      </c>
      <c r="E197" s="122" t="inlineStr">
        <is>
          <t>과거 턴 분기 생성</t>
        </is>
      </c>
      <c r="F197" s="14" t="inlineStr">
        <is>
          <t>계정 A로 로그인해 여러 턴 진행한 대화방에 있는 상태</t>
        </is>
      </c>
      <c r="G197" s="15" t="n">
        <v>1</v>
      </c>
      <c r="H197" s="14" t="inlineStr">
        <is>
          <t>과거 턴의 분기를 선택한다</t>
        </is>
      </c>
      <c r="I197" s="14" t="inlineStr">
        <is>
          <t>그 지점까지의 대화와 상태를 복사한 새 방이 만들어진다</t>
        </is>
      </c>
      <c r="J197" s="10" t="inlineStr">
        <is>
          <t>공통</t>
        </is>
      </c>
      <c r="K197" s="10" t="inlineStr">
        <is>
          <t>High</t>
        </is>
      </c>
      <c r="L197" s="16">
        <f>IF(COUNTIF(M197:M197,"Fail")&gt;0,"Fail",IF(COUNTIF(M197:M197,"Blocked")&gt;0,"Blocked",IF(COUNTIF(M197:M197,"NI")&gt;0,"NI",IF(COUNTIF(M197:M197,"Pass")&gt;0,"Pass",""))))</f>
        <v/>
      </c>
      <c r="M197" s="17" t="n"/>
      <c r="N197" s="18" t="n"/>
      <c r="O197" s="18" t="n"/>
      <c r="P197" s="14" t="inlineStr">
        <is>
          <t>타임머신형입니다 — 이후 두 방은 서로를 참조하지 않습니다. 프로필은 원본 방의 값이 복사되어 새 방에 고정됩니다</t>
        </is>
      </c>
      <c r="Q197" s="10" t="inlineStr">
        <is>
          <t>TC-CHT-007</t>
        </is>
      </c>
      <c r="R197" s="10" t="inlineStr">
        <is>
          <t>금칙</t>
        </is>
      </c>
      <c r="S197" s="10" t="inlineStr">
        <is>
          <t>성인 인증</t>
        </is>
      </c>
    </row>
    <row r="198" ht="30" customHeight="1">
      <c r="B198" s="10">
        <f>ROW()-9</f>
        <v/>
      </c>
      <c r="C198" s="111" t="inlineStr">
        <is>
          <t>대화방</t>
        </is>
      </c>
      <c r="D198" s="118" t="inlineStr">
        <is>
          <t>되돌림</t>
        </is>
      </c>
      <c r="E198" s="122" t="inlineStr">
        <is>
          <t>과거 턴 분기 생성</t>
        </is>
      </c>
      <c r="F198" s="50" t="n"/>
      <c r="G198" s="50" t="n"/>
      <c r="H198" s="50" t="n"/>
      <c r="I198" s="14" t="inlineStr">
        <is>
          <t>원본 방이 그대로 남는다</t>
        </is>
      </c>
      <c r="J198" s="10" t="inlineStr">
        <is>
          <t>공통</t>
        </is>
      </c>
      <c r="K198" s="10" t="inlineStr">
        <is>
          <t>High</t>
        </is>
      </c>
      <c r="L198" s="16">
        <f>IF(COUNTIF(M198:M198,"Fail")&gt;0,"Fail",IF(COUNTIF(M198:M198,"Blocked")&gt;0,"Blocked",IF(COUNTIF(M198:M198,"NI")&gt;0,"NI",IF(COUNTIF(M198:M198,"Pass")&gt;0,"Pass",""))))</f>
        <v/>
      </c>
      <c r="M198" s="17" t="n"/>
      <c r="N198" s="18" t="n"/>
      <c r="O198" s="18" t="n"/>
      <c r="P198" s="50" t="n"/>
      <c r="Q198" s="10" t="inlineStr">
        <is>
          <t>TC-CHT-007</t>
        </is>
      </c>
      <c r="R198" s="10" t="inlineStr">
        <is>
          <t>금칙</t>
        </is>
      </c>
      <c r="S198" s="10" t="inlineStr">
        <is>
          <t>성인 인증</t>
        </is>
      </c>
    </row>
    <row r="199" ht="30" customHeight="1">
      <c r="B199" s="10">
        <f>ROW()-9</f>
        <v/>
      </c>
      <c r="C199" s="111" t="inlineStr">
        <is>
          <t>대화방</t>
        </is>
      </c>
      <c r="D199" s="118" t="inlineStr">
        <is>
          <t>되돌림</t>
        </is>
      </c>
      <c r="E199" s="122" t="inlineStr">
        <is>
          <t>과거 턴 분기 생성</t>
        </is>
      </c>
      <c r="F199" s="19" t="n"/>
      <c r="G199" s="19" t="n"/>
      <c r="H199" s="19" t="n"/>
      <c r="I199" s="14" t="inlineStr">
        <is>
          <t>재화가 차감되지 않는다</t>
        </is>
      </c>
      <c r="J199" s="10" t="inlineStr">
        <is>
          <t>공통</t>
        </is>
      </c>
      <c r="K199" s="10" t="inlineStr">
        <is>
          <t>High</t>
        </is>
      </c>
      <c r="L199" s="16">
        <f>IF(COUNTIF(M199:M199,"Fail")&gt;0,"Fail",IF(COUNTIF(M199:M199,"Blocked")&gt;0,"Blocked",IF(COUNTIF(M199:M199,"NI")&gt;0,"NI",IF(COUNTIF(M199:M199,"Pass")&gt;0,"Pass",""))))</f>
        <v/>
      </c>
      <c r="M199" s="17" t="n"/>
      <c r="N199" s="18" t="n"/>
      <c r="O199" s="18" t="n"/>
      <c r="P199" s="19" t="n"/>
      <c r="Q199" s="10" t="inlineStr">
        <is>
          <t>TC-CHT-007</t>
        </is>
      </c>
      <c r="R199" s="10" t="inlineStr">
        <is>
          <t>금칙</t>
        </is>
      </c>
      <c r="S199" s="10" t="inlineStr">
        <is>
          <t>성인 인증</t>
        </is>
      </c>
    </row>
    <row r="200" ht="30" customHeight="1">
      <c r="B200" s="10">
        <f>ROW()-9</f>
        <v/>
      </c>
      <c r="C200" s="111" t="inlineStr">
        <is>
          <t>대화방</t>
        </is>
      </c>
      <c r="D200" s="124" t="inlineStr">
        <is>
          <t>대화수</t>
        </is>
      </c>
      <c r="E200" s="45" t="inlineStr">
        <is>
          <t>대화수 표시 정합</t>
        </is>
      </c>
      <c r="F200" s="14" t="inlineStr">
        <is>
          <t>계정 A로 로그인해 대화방에 있는 상태</t>
        </is>
      </c>
      <c r="G200" s="15" t="n">
        <v>1</v>
      </c>
      <c r="H200" s="14" t="inlineStr">
        <is>
          <t>한 턴을 전송한다</t>
        </is>
      </c>
      <c r="I200" s="14" t="inlineStr">
        <is>
          <t>대화수가 즉시 갱신된다</t>
        </is>
      </c>
      <c r="J200" s="10" t="inlineStr">
        <is>
          <t>공통</t>
        </is>
      </c>
      <c r="K200" s="10" t="inlineStr">
        <is>
          <t>Low</t>
        </is>
      </c>
      <c r="L200" s="16">
        <f>IF(COUNTIF(M200:M200,"Fail")&gt;0,"Fail",IF(COUNTIF(M200:M200,"Blocked")&gt;0,"Blocked",IF(COUNTIF(M200:M200,"NI")&gt;0,"NI",IF(COUNTIF(M200:M200,"Pass")&gt;0,"Pass",""))))</f>
        <v/>
      </c>
      <c r="M200" s="17" t="n"/>
      <c r="N200" s="18" t="n"/>
      <c r="O200" s="18" t="n"/>
      <c r="P200" s="14" t="inlineStr">
        <is>
          <t>대화수는 유저+AI 턴 합산이고 연출 턴은 빼며 첫 메시지는 포함합니다. MY 합계와의 정합은 MY 탭 영역이 봅니다</t>
        </is>
      </c>
      <c r="Q200" s="10" t="inlineStr">
        <is>
          <t>TC-CHT-008</t>
        </is>
      </c>
      <c r="R200" s="10" t="inlineStr">
        <is>
          <t>결정적</t>
        </is>
      </c>
      <c r="S200" s="10" t="inlineStr">
        <is>
          <t>성인 인증</t>
        </is>
      </c>
    </row>
    <row r="201" ht="30" customHeight="1">
      <c r="B201" s="10">
        <f>ROW()-9</f>
        <v/>
      </c>
      <c r="C201" s="111" t="inlineStr">
        <is>
          <t>대화방</t>
        </is>
      </c>
      <c r="D201" s="124" t="inlineStr">
        <is>
          <t>대화수</t>
        </is>
      </c>
      <c r="E201" s="45" t="inlineStr">
        <is>
          <t>대화수 표시 정합</t>
        </is>
      </c>
      <c r="F201" s="14" t="inlineStr"/>
      <c r="G201" s="15" t="n">
        <v>2</v>
      </c>
      <c r="H201" s="14" t="inlineStr">
        <is>
          <t>캐릭터 페이지의 대화방 목록을 확인한다</t>
        </is>
      </c>
      <c r="I201" s="14" t="inlineStr">
        <is>
          <t>방 카드의 대화수가 내부 상태와 일치한다</t>
        </is>
      </c>
      <c r="J201" s="10" t="inlineStr">
        <is>
          <t>공통</t>
        </is>
      </c>
      <c r="K201" s="10" t="inlineStr">
        <is>
          <t>Low</t>
        </is>
      </c>
      <c r="L201" s="16">
        <f>IF(COUNTIF(M201:M201,"Fail")&gt;0,"Fail",IF(COUNTIF(M201:M201,"Blocked")&gt;0,"Blocked",IF(COUNTIF(M201:M201,"NI")&gt;0,"NI",IF(COUNTIF(M201:M201,"Pass")&gt;0,"Pass",""))))</f>
        <v/>
      </c>
      <c r="M201" s="17" t="n"/>
      <c r="N201" s="18" t="n"/>
      <c r="O201" s="18" t="n"/>
      <c r="P201" s="14" t="n"/>
      <c r="Q201" s="10" t="inlineStr">
        <is>
          <t>TC-CHT-008</t>
        </is>
      </c>
      <c r="R201" s="10" t="inlineStr">
        <is>
          <t>결정적</t>
        </is>
      </c>
      <c r="S201" s="10" t="inlineStr">
        <is>
          <t>성인 인증</t>
        </is>
      </c>
    </row>
    <row r="202" ht="30" customHeight="1">
      <c r="B202" s="10">
        <f>ROW()-9</f>
        <v/>
      </c>
      <c r="C202" s="111" t="inlineStr">
        <is>
          <t>대화방</t>
        </is>
      </c>
      <c r="D202" s="118" t="inlineStr">
        <is>
          <t>세이브/로드</t>
        </is>
      </c>
      <c r="E202" s="125" t="inlineStr">
        <is>
          <t>슬롯 저장과 복원</t>
        </is>
      </c>
      <c r="F202" s="14" t="inlineStr">
        <is>
          <t>계정 A로 로그인해 여러 턴 진행한 대화방에 있는 상태</t>
        </is>
      </c>
      <c r="G202" s="15" t="n">
        <v>1</v>
      </c>
      <c r="H202" s="14" t="inlineStr">
        <is>
          <t>세이브 패널에서 빈 슬롯에 저장한다</t>
        </is>
      </c>
      <c r="I202" s="14" t="inlineStr">
        <is>
          <t>슬롯에 저장 시점 요약이 남는다</t>
        </is>
      </c>
      <c r="J202" s="10" t="inlineStr">
        <is>
          <t>공통</t>
        </is>
      </c>
      <c r="K202" s="10" t="inlineStr">
        <is>
          <t>High</t>
        </is>
      </c>
      <c r="L202" s="16">
        <f>IF(COUNTIF(M202:M202,"Fail")&gt;0,"Fail",IF(COUNTIF(M202:M202,"Blocked")&gt;0,"Blocked",IF(COUNTIF(M202:M202,"NI")&gt;0,"NI",IF(COUNTIF(M202:M202,"Pass")&gt;0,"Pass",""))))</f>
        <v/>
      </c>
      <c r="M202" s="17" t="n"/>
      <c r="N202" s="18" t="n"/>
      <c r="O202" s="18" t="n"/>
      <c r="P202" s="14" t="inlineStr">
        <is>
          <t>슬롯은 대화방마다 4개이며 저장·로드 모두 무료입니다. 재화는 계정 스코프라 복원되지 않습니다</t>
        </is>
      </c>
      <c r="Q202" s="10" t="inlineStr">
        <is>
          <t>TC-SAV-001</t>
        </is>
      </c>
      <c r="R202" s="10" t="inlineStr">
        <is>
          <t>결정적</t>
        </is>
      </c>
      <c r="S202" s="10" t="inlineStr">
        <is>
          <t>성인 인증</t>
        </is>
      </c>
    </row>
    <row r="203" ht="30" customHeight="1">
      <c r="B203" s="10">
        <f>ROW()-9</f>
        <v/>
      </c>
      <c r="C203" s="111" t="inlineStr">
        <is>
          <t>대화방</t>
        </is>
      </c>
      <c r="D203" s="118" t="inlineStr">
        <is>
          <t>세이브/로드</t>
        </is>
      </c>
      <c r="E203" s="125" t="inlineStr">
        <is>
          <t>슬롯 저장과 복원</t>
        </is>
      </c>
      <c r="F203" s="14" t="inlineStr"/>
      <c r="G203" s="15" t="n">
        <v>2</v>
      </c>
      <c r="H203" s="14" t="inlineStr">
        <is>
          <t>몇 턴 더 진행한 뒤 그 슬롯을 로드하고 덮어쓰기를 고른다</t>
        </is>
      </c>
      <c r="I203" s="14" t="inlineStr">
        <is>
          <t>호감도·단계·대화 위치가 저장 시점 그대로 복원된다</t>
        </is>
      </c>
      <c r="J203" s="10" t="inlineStr">
        <is>
          <t>공통</t>
        </is>
      </c>
      <c r="K203" s="10" t="inlineStr">
        <is>
          <t>High</t>
        </is>
      </c>
      <c r="L203" s="16">
        <f>IF(COUNTIF(M203:M203,"Fail")&gt;0,"Fail",IF(COUNTIF(M203:M203,"Blocked")&gt;0,"Blocked",IF(COUNTIF(M203:M203,"NI")&gt;0,"NI",IF(COUNTIF(M203:M203,"Pass")&gt;0,"Pass",""))))</f>
        <v/>
      </c>
      <c r="M203" s="17" t="n"/>
      <c r="N203" s="18" t="n"/>
      <c r="O203" s="18" t="n"/>
      <c r="P203" s="14" t="n"/>
      <c r="Q203" s="10" t="inlineStr">
        <is>
          <t>TC-SAV-001</t>
        </is>
      </c>
      <c r="R203" s="10" t="inlineStr">
        <is>
          <t>결정적</t>
        </is>
      </c>
      <c r="S203" s="10" t="inlineStr">
        <is>
          <t>성인 인증</t>
        </is>
      </c>
    </row>
    <row r="204" ht="30" customHeight="1">
      <c r="B204" s="10">
        <f>ROW()-9</f>
        <v/>
      </c>
      <c r="C204" s="111" t="inlineStr">
        <is>
          <t>대화방</t>
        </is>
      </c>
      <c r="D204" s="118" t="inlineStr">
        <is>
          <t>세이브/로드</t>
        </is>
      </c>
      <c r="E204" s="126" t="inlineStr">
        <is>
          <t>빈 슬롯 로드 불가</t>
        </is>
      </c>
      <c r="F204" s="14" t="inlineStr">
        <is>
          <t>계정 A로 로그인해 세이브 패널을 연 상태</t>
        </is>
      </c>
      <c r="G204" s="15" t="n">
        <v>1</v>
      </c>
      <c r="H204" s="14" t="inlineStr">
        <is>
          <t>비어 있는 슬롯을 확인한다</t>
        </is>
      </c>
      <c r="I204" s="14" t="inlineStr">
        <is>
          <t>비어 있음으로 표시된다</t>
        </is>
      </c>
      <c r="J204" s="10" t="inlineStr">
        <is>
          <t>공통</t>
        </is>
      </c>
      <c r="K204" s="10" t="inlineStr">
        <is>
          <t>Medium</t>
        </is>
      </c>
      <c r="L204" s="16">
        <f>IF(COUNTIF(M204:M204,"Fail")&gt;0,"Fail",IF(COUNTIF(M204:M204,"Blocked")&gt;0,"Blocked",IF(COUNTIF(M204:M204,"NI")&gt;0,"NI",IF(COUNTIF(M204:M204,"Pass")&gt;0,"Pass",""))))</f>
        <v/>
      </c>
      <c r="M204" s="17" t="n"/>
      <c r="N204" s="18" t="n"/>
      <c r="O204" s="18" t="n"/>
      <c r="P204" s="14" t="inlineStr">
        <is>
          <t>빈 슬롯을 눌러 아무 일도 안 일어나는 것과 비활성은 다릅니다 — 비활성이 기대값입니다</t>
        </is>
      </c>
      <c r="Q204" s="10" t="inlineStr">
        <is>
          <t>TC-SAV-002</t>
        </is>
      </c>
      <c r="R204" s="10" t="inlineStr">
        <is>
          <t>결정적</t>
        </is>
      </c>
      <c r="S204" s="10" t="inlineStr">
        <is>
          <t>성인 인증</t>
        </is>
      </c>
    </row>
    <row r="205" ht="30" customHeight="1">
      <c r="B205" s="10">
        <f>ROW()-9</f>
        <v/>
      </c>
      <c r="C205" s="111" t="inlineStr">
        <is>
          <t>대화방</t>
        </is>
      </c>
      <c r="D205" s="118" t="inlineStr">
        <is>
          <t>세이브/로드</t>
        </is>
      </c>
      <c r="E205" s="126" t="inlineStr">
        <is>
          <t>빈 슬롯 로드 불가</t>
        </is>
      </c>
      <c r="F205" s="19" t="n"/>
      <c r="G205" s="19" t="n"/>
      <c r="H205" s="19" t="n"/>
      <c r="I205" s="14" t="inlineStr">
        <is>
          <t>로드 버튼이 비활성된다</t>
        </is>
      </c>
      <c r="J205" s="10" t="inlineStr">
        <is>
          <t>공통</t>
        </is>
      </c>
      <c r="K205" s="10" t="inlineStr">
        <is>
          <t>Medium</t>
        </is>
      </c>
      <c r="L205" s="16">
        <f>IF(COUNTIF(M205:M205,"Fail")&gt;0,"Fail",IF(COUNTIF(M205:M205,"Blocked")&gt;0,"Blocked",IF(COUNTIF(M205:M205,"NI")&gt;0,"NI",IF(COUNTIF(M205:M205,"Pass")&gt;0,"Pass",""))))</f>
        <v/>
      </c>
      <c r="M205" s="17" t="n"/>
      <c r="N205" s="18" t="n"/>
      <c r="O205" s="18" t="n"/>
      <c r="P205" s="19" t="n"/>
      <c r="Q205" s="10" t="inlineStr">
        <is>
          <t>TC-SAV-002</t>
        </is>
      </c>
      <c r="R205" s="10" t="inlineStr">
        <is>
          <t>결정적</t>
        </is>
      </c>
      <c r="S205" s="10" t="inlineStr">
        <is>
          <t>성인 인증</t>
        </is>
      </c>
    </row>
    <row r="206" ht="30" customHeight="1">
      <c r="B206" s="10">
        <f>ROW()-9</f>
        <v/>
      </c>
      <c r="C206" s="111" t="inlineStr">
        <is>
          <t>대화방</t>
        </is>
      </c>
      <c r="D206" s="118" t="inlineStr">
        <is>
          <t>세이브/로드</t>
        </is>
      </c>
      <c r="E206" s="120" t="inlineStr">
        <is>
          <t>덮어쓰기 저장 확인</t>
        </is>
      </c>
      <c r="F206" s="14" t="inlineStr">
        <is>
          <t>계정 A로 로그인하고 저장된 슬롯이 있는 상태</t>
        </is>
      </c>
      <c r="G206" s="15" t="n">
        <v>1</v>
      </c>
      <c r="H206" s="14" t="inlineStr">
        <is>
          <t>그 슬롯에 저장을 선택한다</t>
        </is>
      </c>
      <c r="I206" s="14" t="inlineStr">
        <is>
          <t>확인 모달 노출된다</t>
        </is>
      </c>
      <c r="J206" s="10" t="inlineStr">
        <is>
          <t>공통</t>
        </is>
      </c>
      <c r="K206" s="10" t="inlineStr">
        <is>
          <t>Medium</t>
        </is>
      </c>
      <c r="L206" s="16">
        <f>IF(COUNTIF(M206:M206,"Fail")&gt;0,"Fail",IF(COUNTIF(M206:M206,"Blocked")&gt;0,"Blocked",IF(COUNTIF(M206:M206,"NI")&gt;0,"NI",IF(COUNTIF(M206:M206,"Pass")&gt;0,"Pass",""))))</f>
        <v/>
      </c>
      <c r="M206" s="17" t="n"/>
      <c r="N206" s="18" t="n"/>
      <c r="O206" s="18" t="n"/>
      <c r="P206" s="14" t="inlineStr">
        <is>
          <t>되돌릴 수 없는 동작이라 한 번 묻습니다. 되돌림의 삭제와 같은 확인 모달을 씁니다</t>
        </is>
      </c>
      <c r="Q206" s="10" t="inlineStr">
        <is>
          <t>TC-SAV-003</t>
        </is>
      </c>
      <c r="R206" s="10" t="inlineStr">
        <is>
          <t>결정적</t>
        </is>
      </c>
      <c r="S206" s="10" t="inlineStr">
        <is>
          <t>성인 인증</t>
        </is>
      </c>
    </row>
    <row r="207" ht="30" customHeight="1">
      <c r="B207" s="10">
        <f>ROW()-9</f>
        <v/>
      </c>
      <c r="C207" s="111" t="inlineStr">
        <is>
          <t>대화방</t>
        </is>
      </c>
      <c r="D207" s="118" t="inlineStr">
        <is>
          <t>세이브/로드</t>
        </is>
      </c>
      <c r="E207" s="120" t="inlineStr">
        <is>
          <t>덮어쓰기 저장 확인</t>
        </is>
      </c>
      <c r="F207" s="14" t="inlineStr"/>
      <c r="G207" s="15" t="n">
        <v>2</v>
      </c>
      <c r="H207" s="14" t="inlineStr">
        <is>
          <t>확인 모달에서 진행한다</t>
        </is>
      </c>
      <c r="I207" s="14" t="inlineStr">
        <is>
          <t>슬롯 내용이 새 시점으로 바뀐다</t>
        </is>
      </c>
      <c r="J207" s="10" t="inlineStr">
        <is>
          <t>공통</t>
        </is>
      </c>
      <c r="K207" s="10" t="inlineStr">
        <is>
          <t>Medium</t>
        </is>
      </c>
      <c r="L207" s="16">
        <f>IF(COUNTIF(M207:M207,"Fail")&gt;0,"Fail",IF(COUNTIF(M207:M207,"Blocked")&gt;0,"Blocked",IF(COUNTIF(M207:M207,"NI")&gt;0,"NI",IF(COUNTIF(M207:M207,"Pass")&gt;0,"Pass",""))))</f>
        <v/>
      </c>
      <c r="M207" s="17" t="n"/>
      <c r="N207" s="18" t="n"/>
      <c r="O207" s="18" t="n"/>
      <c r="P207" s="14" t="n"/>
      <c r="Q207" s="10" t="inlineStr">
        <is>
          <t>TC-SAV-003</t>
        </is>
      </c>
      <c r="R207" s="10" t="inlineStr">
        <is>
          <t>결정적</t>
        </is>
      </c>
      <c r="S207" s="10" t="inlineStr">
        <is>
          <t>성인 인증</t>
        </is>
      </c>
    </row>
    <row r="208" ht="30" customHeight="1">
      <c r="B208" s="10">
        <f>ROW()-9</f>
        <v/>
      </c>
      <c r="C208" s="111" t="inlineStr">
        <is>
          <t>대화방</t>
        </is>
      </c>
      <c r="D208" s="118" t="inlineStr">
        <is>
          <t>세이브/로드</t>
        </is>
      </c>
      <c r="E208" s="121" t="inlineStr">
        <is>
          <t>덮어쓰기 로드 복원</t>
        </is>
      </c>
      <c r="F208" s="14" t="inlineStr">
        <is>
          <t>계정 A로 로그인하고 저장 이후 대화를 더 진행한 상태</t>
        </is>
      </c>
      <c r="G208" s="15" t="n">
        <v>1</v>
      </c>
      <c r="H208" s="14" t="inlineStr">
        <is>
          <t>그 슬롯을 로드하고 이 방에 덮어쓰기를 고른다</t>
        </is>
      </c>
      <c r="I208" s="14" t="inlineStr">
        <is>
          <t>저장 시점 이후의 대화가 남지 않는다</t>
        </is>
      </c>
      <c r="J208" s="10" t="inlineStr">
        <is>
          <t>공통</t>
        </is>
      </c>
      <c r="K208" s="10" t="inlineStr">
        <is>
          <t>High</t>
        </is>
      </c>
      <c r="L208" s="16">
        <f>IF(COUNTIF(M208:M208,"Fail")&gt;0,"Fail",IF(COUNTIF(M208:M208,"Blocked")&gt;0,"Blocked",IF(COUNTIF(M208:M208,"NI")&gt;0,"NI",IF(COUNTIF(M208:M208,"Pass")&gt;0,"Pass",""))))</f>
        <v/>
      </c>
      <c r="M208" s="17" t="n"/>
      <c r="N208" s="18" t="n"/>
      <c r="O208" s="18" t="n"/>
      <c r="P208" s="14" t="inlineStr">
        <is>
          <t>덮어쓰기는 로드 갈래 둘 중 하나이며, 다른 갈래(새 방으로)는 분기를 만듭니다</t>
        </is>
      </c>
      <c r="Q208" s="10" t="inlineStr">
        <is>
          <t>TC-SAV-004</t>
        </is>
      </c>
      <c r="R208" s="10" t="inlineStr">
        <is>
          <t>금칙</t>
        </is>
      </c>
      <c r="S208" s="10" t="inlineStr">
        <is>
          <t>성인 인증</t>
        </is>
      </c>
    </row>
    <row r="209" ht="30" customHeight="1">
      <c r="B209" s="10">
        <f>ROW()-9</f>
        <v/>
      </c>
      <c r="C209" s="111" t="inlineStr">
        <is>
          <t>대화방</t>
        </is>
      </c>
      <c r="D209" s="118" t="inlineStr">
        <is>
          <t>세이브/로드</t>
        </is>
      </c>
      <c r="E209" s="121" t="inlineStr">
        <is>
          <t>덮어쓰기 로드 복원</t>
        </is>
      </c>
      <c r="F209" s="19" t="n"/>
      <c r="G209" s="19" t="n"/>
      <c r="H209" s="19" t="n"/>
      <c r="I209" s="14" t="inlineStr">
        <is>
          <t>상태 변화도 남지 않는다</t>
        </is>
      </c>
      <c r="J209" s="10" t="inlineStr">
        <is>
          <t>공통</t>
        </is>
      </c>
      <c r="K209" s="10" t="inlineStr">
        <is>
          <t>High</t>
        </is>
      </c>
      <c r="L209" s="16">
        <f>IF(COUNTIF(M209:M209,"Fail")&gt;0,"Fail",IF(COUNTIF(M209:M209,"Blocked")&gt;0,"Blocked",IF(COUNTIF(M209:M209,"NI")&gt;0,"NI",IF(COUNTIF(M209:M209,"Pass")&gt;0,"Pass",""))))</f>
        <v/>
      </c>
      <c r="M209" s="17" t="n"/>
      <c r="N209" s="18" t="n"/>
      <c r="O209" s="18" t="n"/>
      <c r="P209" s="19" t="n"/>
      <c r="Q209" s="10" t="inlineStr">
        <is>
          <t>TC-SAV-004</t>
        </is>
      </c>
      <c r="R209" s="10" t="inlineStr">
        <is>
          <t>금칙</t>
        </is>
      </c>
      <c r="S209" s="10" t="inlineStr">
        <is>
          <t>성인 인증</t>
        </is>
      </c>
    </row>
    <row r="210" ht="30" customHeight="1">
      <c r="B210" s="10">
        <f>ROW()-9</f>
        <v/>
      </c>
      <c r="C210" s="111" t="inlineStr">
        <is>
          <t>대화방</t>
        </is>
      </c>
      <c r="D210" s="118" t="inlineStr">
        <is>
          <t>세이브/로드</t>
        </is>
      </c>
      <c r="E210" s="127" t="inlineStr">
        <is>
          <t>새 방으로 로드</t>
        </is>
      </c>
      <c r="F210" s="14" t="inlineStr">
        <is>
          <t>계정 A로 로그인하고 저장된 슬롯이 있는 상태</t>
        </is>
      </c>
      <c r="G210" s="15" t="n">
        <v>1</v>
      </c>
      <c r="H210" s="14" t="inlineStr">
        <is>
          <t>그 슬롯을 로드하고 새 방으로를 고른다</t>
        </is>
      </c>
      <c r="I210" s="14" t="inlineStr">
        <is>
          <t>상태를 복사한 새 방이 만들어진다</t>
        </is>
      </c>
      <c r="J210" s="10" t="inlineStr">
        <is>
          <t>공통</t>
        </is>
      </c>
      <c r="K210" s="10" t="inlineStr">
        <is>
          <t>High</t>
        </is>
      </c>
      <c r="L210" s="16">
        <f>IF(COUNTIF(M210:M210,"Fail")&gt;0,"Fail",IF(COUNTIF(M210:M210,"Blocked")&gt;0,"Blocked",IF(COUNTIF(M210:M210,"NI")&gt;0,"NI",IF(COUNTIF(M210:M210,"Pass")&gt;0,"Pass",""))))</f>
        <v/>
      </c>
      <c r="M210" s="17" t="n"/>
      <c r="N210" s="18" t="n"/>
      <c r="O210" s="18" t="n"/>
      <c r="P210" s="14" t="inlineStr">
        <is>
          <t>새 방 갈래가 곧 분기 생성이며 캐릭터당 대화방 한도를 받습니다</t>
        </is>
      </c>
      <c r="Q210" s="10" t="inlineStr">
        <is>
          <t>TC-SAV-005</t>
        </is>
      </c>
      <c r="R210" s="10" t="inlineStr">
        <is>
          <t>결정적</t>
        </is>
      </c>
      <c r="S210" s="10" t="inlineStr">
        <is>
          <t>성인 인증</t>
        </is>
      </c>
    </row>
    <row r="211" ht="30" customHeight="1">
      <c r="B211" s="10">
        <f>ROW()-9</f>
        <v/>
      </c>
      <c r="C211" s="111" t="inlineStr">
        <is>
          <t>대화방</t>
        </is>
      </c>
      <c r="D211" s="118" t="inlineStr">
        <is>
          <t>세이브/로드</t>
        </is>
      </c>
      <c r="E211" s="127" t="inlineStr">
        <is>
          <t>새 방으로 로드</t>
        </is>
      </c>
      <c r="F211" s="19" t="n"/>
      <c r="G211" s="19" t="n"/>
      <c r="H211" s="19" t="n"/>
      <c r="I211" s="14" t="inlineStr">
        <is>
          <t>원본 방이 그대로 남는다</t>
        </is>
      </c>
      <c r="J211" s="10" t="inlineStr">
        <is>
          <t>공통</t>
        </is>
      </c>
      <c r="K211" s="10" t="inlineStr">
        <is>
          <t>High</t>
        </is>
      </c>
      <c r="L211" s="16">
        <f>IF(COUNTIF(M211:M211,"Fail")&gt;0,"Fail",IF(COUNTIF(M211:M211,"Blocked")&gt;0,"Blocked",IF(COUNTIF(M211:M211,"NI")&gt;0,"NI",IF(COUNTIF(M211:M211,"Pass")&gt;0,"Pass",""))))</f>
        <v/>
      </c>
      <c r="M211" s="17" t="n"/>
      <c r="N211" s="18" t="n"/>
      <c r="O211" s="18" t="n"/>
      <c r="P211" s="19" t="n"/>
      <c r="Q211" s="10" t="inlineStr">
        <is>
          <t>TC-SAV-005</t>
        </is>
      </c>
      <c r="R211" s="10" t="inlineStr">
        <is>
          <t>결정적</t>
        </is>
      </c>
      <c r="S211" s="10" t="inlineStr">
        <is>
          <t>성인 인증</t>
        </is>
      </c>
    </row>
    <row r="212" ht="30" customHeight="1">
      <c r="B212" s="10">
        <f>ROW()-9</f>
        <v/>
      </c>
      <c r="C212" s="111" t="inlineStr">
        <is>
          <t>대화방</t>
        </is>
      </c>
      <c r="D212" s="118" t="inlineStr">
        <is>
          <t>세이브/로드</t>
        </is>
      </c>
      <c r="E212" s="128" t="inlineStr">
        <is>
          <t>슬롯 간 격리</t>
        </is>
      </c>
      <c r="F212" s="14" t="inlineStr">
        <is>
          <t>계정 A로 로그인하고 서로 다른 시점을 두 슬롯에 저장한 상태</t>
        </is>
      </c>
      <c r="G212" s="15" t="n">
        <v>1</v>
      </c>
      <c r="H212" s="14" t="inlineStr">
        <is>
          <t>각 슬롯을 차례로 로드해 상태를 확인한다</t>
        </is>
      </c>
      <c r="I212" s="14" t="inlineStr">
        <is>
          <t>각 슬롯이 자기 시점의 상태로 복원된다</t>
        </is>
      </c>
      <c r="J212" s="10" t="inlineStr">
        <is>
          <t>자동화 전용</t>
        </is>
      </c>
      <c r="K212" s="10" t="inlineStr">
        <is>
          <t>High</t>
        </is>
      </c>
      <c r="L212" s="16">
        <f>IF(COUNTIF(M212:M212,"Fail")&gt;0,"Fail",IF(COUNTIF(M212:M212,"Blocked")&gt;0,"Blocked",IF(COUNTIF(M212:M212,"NI")&gt;0,"NI",IF(COUNTIF(M212:M212,"Pass")&gt;0,"Pass",""))))</f>
        <v/>
      </c>
      <c r="M212" s="17" t="n"/>
      <c r="N212" s="18" t="n"/>
      <c r="O212" s="18" t="n"/>
      <c r="P212" s="14" t="inlineStr">
        <is>
          <t>화면만 봐서는 혼입을 판정할 수 없어 상태 훅으로 확인합니다 — 그래서 자동화 전용입니다</t>
        </is>
      </c>
      <c r="Q212" s="10" t="inlineStr">
        <is>
          <t>TC-SAV-006</t>
        </is>
      </c>
      <c r="R212" s="10" t="inlineStr">
        <is>
          <t>금칙</t>
        </is>
      </c>
      <c r="S212" s="10" t="inlineStr">
        <is>
          <t>성인 인증</t>
        </is>
      </c>
    </row>
    <row r="213" ht="30" customHeight="1">
      <c r="B213" s="10">
        <f>ROW()-9</f>
        <v/>
      </c>
      <c r="C213" s="111" t="inlineStr">
        <is>
          <t>대화방</t>
        </is>
      </c>
      <c r="D213" s="118" t="inlineStr">
        <is>
          <t>세이브/로드</t>
        </is>
      </c>
      <c r="E213" s="128" t="inlineStr">
        <is>
          <t>슬롯 간 격리</t>
        </is>
      </c>
      <c r="F213" s="19" t="n"/>
      <c r="G213" s="19" t="n"/>
      <c r="H213" s="19" t="n"/>
      <c r="I213" s="14" t="inlineStr">
        <is>
          <t>다른 슬롯의 값이 섞이지 않는다</t>
        </is>
      </c>
      <c r="J213" s="10" t="inlineStr">
        <is>
          <t>자동화 전용</t>
        </is>
      </c>
      <c r="K213" s="10" t="inlineStr">
        <is>
          <t>High</t>
        </is>
      </c>
      <c r="L213" s="16">
        <f>IF(COUNTIF(M213:M213,"Fail")&gt;0,"Fail",IF(COUNTIF(M213:M213,"Blocked")&gt;0,"Blocked",IF(COUNTIF(M213:M213,"NI")&gt;0,"NI",IF(COUNTIF(M213:M213,"Pass")&gt;0,"Pass",""))))</f>
        <v/>
      </c>
      <c r="M213" s="17" t="n"/>
      <c r="N213" s="18" t="n"/>
      <c r="O213" s="18" t="n"/>
      <c r="P213" s="19" t="n"/>
      <c r="Q213" s="10" t="inlineStr">
        <is>
          <t>TC-SAV-006</t>
        </is>
      </c>
      <c r="R213" s="10" t="inlineStr">
        <is>
          <t>금칙</t>
        </is>
      </c>
      <c r="S213" s="10" t="inlineStr">
        <is>
          <t>성인 인증</t>
        </is>
      </c>
    </row>
    <row r="214" ht="30" customHeight="1">
      <c r="B214" s="10">
        <f>ROW()-9</f>
        <v/>
      </c>
      <c r="C214" s="111" t="inlineStr">
        <is>
          <t>대화방</t>
        </is>
      </c>
      <c r="D214" s="118" t="inlineStr">
        <is>
          <t>세이브/로드</t>
        </is>
      </c>
      <c r="E214" s="129" t="inlineStr">
        <is>
          <t>한도 찼을 때 새 방 차단</t>
        </is>
      </c>
      <c r="F214" s="14" t="inlineStr">
        <is>
          <t>계정 A로 로그인하고 그 캐릭터의 대화방이 한도까지 찬 상태</t>
        </is>
      </c>
      <c r="G214" s="15" t="n">
        <v>1</v>
      </c>
      <c r="H214" s="14" t="inlineStr">
        <is>
          <t>슬롯을 로드하고 새 방으로를 고른다</t>
        </is>
      </c>
      <c r="I214" s="14" t="inlineStr">
        <is>
          <t>새 방이 만들어지지 않는다</t>
        </is>
      </c>
      <c r="J214" s="10" t="inlineStr">
        <is>
          <t>공통</t>
        </is>
      </c>
      <c r="K214" s="10" t="inlineStr">
        <is>
          <t>High</t>
        </is>
      </c>
      <c r="L214" s="16">
        <f>IF(COUNTIF(M214:M214,"Fail")&gt;0,"Fail",IF(COUNTIF(M214:M214,"Blocked")&gt;0,"Blocked",IF(COUNTIF(M214:M214,"NI")&gt;0,"NI",IF(COUNTIF(M214:M214,"Pass")&gt;0,"Pass",""))))</f>
        <v/>
      </c>
      <c r="M214" s="17" t="n"/>
      <c r="N214" s="18" t="n"/>
      <c r="O214" s="18" t="n"/>
      <c r="P214" s="14" t="inlineStr">
        <is>
          <t>묻기만 하고 지우지 않으면 아무 방도 만들어지지 않아야 합니다(§6)</t>
        </is>
      </c>
      <c r="Q214" s="10" t="inlineStr">
        <is>
          <t>TC-SAV-007</t>
        </is>
      </c>
      <c r="R214" s="10" t="inlineStr">
        <is>
          <t>금칙</t>
        </is>
      </c>
      <c r="S214" s="10" t="inlineStr">
        <is>
          <t>성인 인증</t>
        </is>
      </c>
    </row>
    <row r="215" ht="30" customHeight="1">
      <c r="B215" s="10">
        <f>ROW()-9</f>
        <v/>
      </c>
      <c r="C215" s="111" t="inlineStr">
        <is>
          <t>대화방</t>
        </is>
      </c>
      <c r="D215" s="118" t="inlineStr">
        <is>
          <t>세이브/로드</t>
        </is>
      </c>
      <c r="E215" s="129" t="inlineStr">
        <is>
          <t>한도 찼을 때 새 방 차단</t>
        </is>
      </c>
      <c r="F215" s="19" t="n"/>
      <c r="G215" s="19" t="n"/>
      <c r="H215" s="19" t="n"/>
      <c r="I215" s="14" t="inlineStr">
        <is>
          <t>삭제 여부를 묻는 안내 노출된다</t>
        </is>
      </c>
      <c r="J215" s="10" t="inlineStr">
        <is>
          <t>공통</t>
        </is>
      </c>
      <c r="K215" s="10" t="inlineStr">
        <is>
          <t>High</t>
        </is>
      </c>
      <c r="L215" s="16">
        <f>IF(COUNTIF(M215:M215,"Fail")&gt;0,"Fail",IF(COUNTIF(M215:M215,"Blocked")&gt;0,"Blocked",IF(COUNTIF(M215:M215,"NI")&gt;0,"NI",IF(COUNTIF(M215:M215,"Pass")&gt;0,"Pass",""))))</f>
        <v/>
      </c>
      <c r="M215" s="17" t="n"/>
      <c r="N215" s="18" t="n"/>
      <c r="O215" s="18" t="n"/>
      <c r="P215" s="19" t="n"/>
      <c r="Q215" s="10" t="inlineStr">
        <is>
          <t>TC-SAV-007</t>
        </is>
      </c>
      <c r="R215" s="10" t="inlineStr">
        <is>
          <t>금칙</t>
        </is>
      </c>
      <c r="S215" s="10" t="inlineStr">
        <is>
          <t>성인 인증</t>
        </is>
      </c>
    </row>
    <row r="216" ht="30" customHeight="1">
      <c r="B216" s="10">
        <f>ROW()-9</f>
        <v/>
      </c>
      <c r="C216" s="111" t="inlineStr">
        <is>
          <t>대화방</t>
        </is>
      </c>
      <c r="D216" s="130" t="inlineStr">
        <is>
          <t>현재 상태</t>
        </is>
      </c>
      <c r="E216" s="131" t="inlineStr">
        <is>
          <t>대시보드 표시</t>
        </is>
      </c>
      <c r="F216" s="14" t="inlineStr">
        <is>
          <t>계정 A로 로그인해 대화방에 있는 상태</t>
        </is>
      </c>
      <c r="G216" s="15" t="n">
        <v>1</v>
      </c>
      <c r="H216" s="14" t="inlineStr">
        <is>
          <t>현재 상태 패널을 연다</t>
        </is>
      </c>
      <c r="I216" s="14" t="inlineStr">
        <is>
          <t>관계 단계·호감도·감정 온도·호칭이 노출된다</t>
        </is>
      </c>
      <c r="J216" s="10" t="inlineStr">
        <is>
          <t>공통</t>
        </is>
      </c>
      <c r="K216" s="10" t="inlineStr">
        <is>
          <t>Medium</t>
        </is>
      </c>
      <c r="L216" s="16">
        <f>IF(COUNTIF(M216:M216,"Fail")&gt;0,"Fail",IF(COUNTIF(M216:M216,"Blocked")&gt;0,"Blocked",IF(COUNTIF(M216:M216,"NI")&gt;0,"NI",IF(COUNTIF(M216:M216,"Pass")&gt;0,"Pass",""))))</f>
        <v/>
      </c>
      <c r="M216" s="17" t="n"/>
      <c r="N216" s="18" t="n"/>
      <c r="O216" s="18" t="n"/>
      <c r="P216" s="14" t="inlineStr">
        <is>
          <t>패널은 대화방 하위 오버레이라 대화방 소속입니다</t>
        </is>
      </c>
      <c r="Q216" s="10" t="inlineStr">
        <is>
          <t>TC-MEM-001</t>
        </is>
      </c>
      <c r="R216" s="10" t="inlineStr">
        <is>
          <t>결정적</t>
        </is>
      </c>
      <c r="S216" s="10" t="inlineStr">
        <is>
          <t>성인 인증</t>
        </is>
      </c>
    </row>
    <row r="217" ht="30" customHeight="1">
      <c r="B217" s="10">
        <f>ROW()-9</f>
        <v/>
      </c>
      <c r="C217" s="111" t="inlineStr">
        <is>
          <t>대화방</t>
        </is>
      </c>
      <c r="D217" s="130" t="inlineStr">
        <is>
          <t>현재 상태</t>
        </is>
      </c>
      <c r="E217" s="132" t="inlineStr">
        <is>
          <t>상태 값 고정 우선</t>
        </is>
      </c>
      <c r="F217" s="14" t="inlineStr">
        <is>
          <t>계정 A로 로그인해 현재 상태 패널을 연 상태</t>
        </is>
      </c>
      <c r="G217" s="15" t="n">
        <v>1</v>
      </c>
      <c r="H217" s="14" t="inlineStr">
        <is>
          <t>호칭 값을 고쳐 고정한다</t>
        </is>
      </c>
      <c r="I217" s="14" t="inlineStr">
        <is>
          <t>고정 중으로 표시된다</t>
        </is>
      </c>
      <c r="J217" s="10" t="inlineStr">
        <is>
          <t>공통</t>
        </is>
      </c>
      <c r="K217" s="10" t="inlineStr">
        <is>
          <t>High</t>
        </is>
      </c>
      <c r="L217" s="16">
        <f>IF(COUNTIF(M217:M217,"Fail")&gt;0,"Fail",IF(COUNTIF(M217:M217,"Blocked")&gt;0,"Blocked",IF(COUNTIF(M217:M217,"NI")&gt;0,"NI",IF(COUNTIF(M217:M217,"Pass")&gt;0,"Pass",""))))</f>
        <v/>
      </c>
      <c r="M217" s="17" t="n"/>
      <c r="N217" s="18" t="n"/>
      <c r="O217" s="18" t="n"/>
      <c r="P217" s="14" t="inlineStr">
        <is>
          <t>이 영역의 축은 유저가 정한 것이 AI 판단보다 우선입니다. 관계 단계·호감도는 엔딩 판정의 근거라 고정할 수 없습니다</t>
        </is>
      </c>
      <c r="Q217" s="10" t="inlineStr">
        <is>
          <t>TC-MEM-002</t>
        </is>
      </c>
      <c r="R217" s="10" t="inlineStr">
        <is>
          <t>결정적</t>
        </is>
      </c>
      <c r="S217" s="10" t="inlineStr">
        <is>
          <t>성인 인증</t>
        </is>
      </c>
    </row>
    <row r="218" ht="30" customHeight="1">
      <c r="B218" s="10">
        <f>ROW()-9</f>
        <v/>
      </c>
      <c r="C218" s="111" t="inlineStr">
        <is>
          <t>대화방</t>
        </is>
      </c>
      <c r="D218" s="130" t="inlineStr">
        <is>
          <t>현재 상태</t>
        </is>
      </c>
      <c r="E218" s="132" t="inlineStr">
        <is>
          <t>상태 값 고정 우선</t>
        </is>
      </c>
      <c r="F218" s="14" t="inlineStr"/>
      <c r="G218" s="15" t="n">
        <v>2</v>
      </c>
      <c r="H218" s="14" t="inlineStr">
        <is>
          <t>몇 턴 더 진행한다</t>
        </is>
      </c>
      <c r="I218" s="14" t="inlineStr">
        <is>
          <t>AI 자동 갱신이 그 값을 덮지 않는다</t>
        </is>
      </c>
      <c r="J218" s="10" t="inlineStr">
        <is>
          <t>공통</t>
        </is>
      </c>
      <c r="K218" s="10" t="inlineStr">
        <is>
          <t>High</t>
        </is>
      </c>
      <c r="L218" s="16">
        <f>IF(COUNTIF(M218:M218,"Fail")&gt;0,"Fail",IF(COUNTIF(M218:M218,"Blocked")&gt;0,"Blocked",IF(COUNTIF(M218:M218,"NI")&gt;0,"NI",IF(COUNTIF(M218:M218,"Pass")&gt;0,"Pass",""))))</f>
        <v/>
      </c>
      <c r="M218" s="17" t="n"/>
      <c r="N218" s="18" t="n"/>
      <c r="O218" s="18" t="n"/>
      <c r="P218" s="14" t="n"/>
      <c r="Q218" s="10" t="inlineStr">
        <is>
          <t>TC-MEM-002</t>
        </is>
      </c>
      <c r="R218" s="10" t="inlineStr">
        <is>
          <t>결정적</t>
        </is>
      </c>
      <c r="S218" s="10" t="inlineStr">
        <is>
          <t>성인 인증</t>
        </is>
      </c>
    </row>
    <row r="219" ht="30" customHeight="1">
      <c r="B219" s="10">
        <f>ROW()-9</f>
        <v/>
      </c>
      <c r="C219" s="111" t="inlineStr">
        <is>
          <t>대화방</t>
        </is>
      </c>
      <c r="D219" s="133" t="inlineStr">
        <is>
          <t>기억</t>
        </is>
      </c>
      <c r="E219" s="134" t="inlineStr">
        <is>
          <t>대화에서 기억 등록</t>
        </is>
      </c>
      <c r="F219" s="14" t="inlineStr">
        <is>
          <t>계정 A로 로그인해 여러 턴 진행한 대화방에 있는 상태</t>
        </is>
      </c>
      <c r="G219" s="15" t="n">
        <v>1</v>
      </c>
      <c r="H219" s="14" t="inlineStr">
        <is>
          <t>메시지의 기억하기를 선택한다</t>
        </is>
      </c>
      <c r="I219" s="14" t="inlineStr">
        <is>
          <t>그 메시지에 표시가 붙는다</t>
        </is>
      </c>
      <c r="J219" s="10" t="inlineStr">
        <is>
          <t>공통</t>
        </is>
      </c>
      <c r="K219" s="10" t="inlineStr">
        <is>
          <t>Medium</t>
        </is>
      </c>
      <c r="L219" s="16">
        <f>IF(COUNTIF(M219:M219,"Fail")&gt;0,"Fail",IF(COUNTIF(M219:M219,"Blocked")&gt;0,"Blocked",IF(COUNTIF(M219:M219,"NI")&gt;0,"NI",IF(COUNTIF(M219:M219,"Pass")&gt;0,"Pass",""))))</f>
        <v/>
      </c>
      <c r="M219" s="17" t="n"/>
      <c r="N219" s="18" t="n"/>
      <c r="O219" s="18" t="n"/>
      <c r="P219" s="14" t="inlineStr">
        <is>
          <t>기억하기는 과거 턴 메시지에도 붙습니다 — 되돌림 액션과 노출 범위가 다릅니다</t>
        </is>
      </c>
      <c r="Q219" s="10" t="inlineStr">
        <is>
          <t>TC-MEM-003</t>
        </is>
      </c>
      <c r="R219" s="10" t="inlineStr">
        <is>
          <t>결정적</t>
        </is>
      </c>
      <c r="S219" s="10" t="inlineStr">
        <is>
          <t>성인 인증</t>
        </is>
      </c>
    </row>
    <row r="220" ht="30" customHeight="1">
      <c r="B220" s="10">
        <f>ROW()-9</f>
        <v/>
      </c>
      <c r="C220" s="111" t="inlineStr">
        <is>
          <t>대화방</t>
        </is>
      </c>
      <c r="D220" s="133" t="inlineStr">
        <is>
          <t>기억</t>
        </is>
      </c>
      <c r="E220" s="134" t="inlineStr">
        <is>
          <t>대화에서 기억 등록</t>
        </is>
      </c>
      <c r="F220" s="14" t="inlineStr"/>
      <c r="G220" s="15" t="n">
        <v>2</v>
      </c>
      <c r="H220" s="14" t="inlineStr">
        <is>
          <t>현재 상태 패널의 기억 목록을 확인한다</t>
        </is>
      </c>
      <c r="I220" s="14" t="inlineStr">
        <is>
          <t>메시지 내용이 그대로 기억으로 등록된다</t>
        </is>
      </c>
      <c r="J220" s="10" t="inlineStr">
        <is>
          <t>공통</t>
        </is>
      </c>
      <c r="K220" s="10" t="inlineStr">
        <is>
          <t>Medium</t>
        </is>
      </c>
      <c r="L220" s="16">
        <f>IF(COUNTIF(M220:M220,"Fail")&gt;0,"Fail",IF(COUNTIF(M220:M220,"Blocked")&gt;0,"Blocked",IF(COUNTIF(M220:M220,"NI")&gt;0,"NI",IF(COUNTIF(M220:M220,"Pass")&gt;0,"Pass",""))))</f>
        <v/>
      </c>
      <c r="M220" s="17" t="n"/>
      <c r="N220" s="18" t="n"/>
      <c r="O220" s="18" t="n"/>
      <c r="P220" s="14" t="n"/>
      <c r="Q220" s="10" t="inlineStr">
        <is>
          <t>TC-MEM-003</t>
        </is>
      </c>
      <c r="R220" s="10" t="inlineStr">
        <is>
          <t>결정적</t>
        </is>
      </c>
      <c r="S220" s="10" t="inlineStr">
        <is>
          <t>성인 인증</t>
        </is>
      </c>
    </row>
    <row r="221" ht="30" customHeight="1">
      <c r="B221" s="10">
        <f>ROW()-9</f>
        <v/>
      </c>
      <c r="C221" s="111" t="inlineStr">
        <is>
          <t>대화방</t>
        </is>
      </c>
      <c r="D221" s="133" t="inlineStr">
        <is>
          <t>기억</t>
        </is>
      </c>
      <c r="E221" s="135" t="inlineStr">
        <is>
          <t>고정한 기억은 간략화 제외</t>
        </is>
      </c>
      <c r="F221" s="14" t="inlineStr">
        <is>
          <t>계정 A로 로그인하고 진행 중 장면에서 쌓인 기억이 있는 상태</t>
        </is>
      </c>
      <c r="G221" s="15" t="n">
        <v>1</v>
      </c>
      <c r="H221" s="14" t="inlineStr">
        <is>
          <t>기억 항목을 고정한다</t>
        </is>
      </c>
      <c r="I221" s="14" t="inlineStr">
        <is>
          <t>고정 표시가 붙는다</t>
        </is>
      </c>
      <c r="J221" s="10" t="inlineStr">
        <is>
          <t>공통</t>
        </is>
      </c>
      <c r="K221" s="10" t="inlineStr">
        <is>
          <t>High</t>
        </is>
      </c>
      <c r="L221" s="16">
        <f>IF(COUNTIF(M221:M221,"Fail")&gt;0,"Fail",IF(COUNTIF(M221:M221,"Blocked")&gt;0,"Blocked",IF(COUNTIF(M221:M221,"NI")&gt;0,"NI",IF(COUNTIF(M221:M221,"Pass")&gt;0,"Pass",""))))</f>
        <v/>
      </c>
      <c r="M221" s="17" t="n"/>
      <c r="N221" s="18" t="n"/>
      <c r="O221" s="18" t="n"/>
      <c r="P221" s="14" t="inlineStr">
        <is>
          <t>간략화는 장면이 끝날 때 오는, 기억이 저절로 바뀌는 유일한 사건입니다. 지금 장면과 구간은 패널에서 읽습니다</t>
        </is>
      </c>
      <c r="Q221" s="10" t="inlineStr">
        <is>
          <t>TC-MEM-004</t>
        </is>
      </c>
      <c r="R221" s="10" t="inlineStr">
        <is>
          <t>결정적</t>
        </is>
      </c>
      <c r="S221" s="10" t="inlineStr">
        <is>
          <t>성인 인증</t>
        </is>
      </c>
    </row>
    <row r="222" ht="30" customHeight="1">
      <c r="B222" s="10">
        <f>ROW()-9</f>
        <v/>
      </c>
      <c r="C222" s="111" t="inlineStr">
        <is>
          <t>대화방</t>
        </is>
      </c>
      <c r="D222" s="133" t="inlineStr">
        <is>
          <t>기억</t>
        </is>
      </c>
      <c r="E222" s="135" t="inlineStr">
        <is>
          <t>고정한 기억은 간략화 제외</t>
        </is>
      </c>
      <c r="F222" s="14" t="inlineStr"/>
      <c r="G222" s="15" t="n">
        <v>2</v>
      </c>
      <c r="H222" s="14" t="inlineStr">
        <is>
          <t>그 장면이 끝날 때까지 진행한다</t>
        </is>
      </c>
      <c r="I222" s="14" t="inlineStr">
        <is>
          <t>장면이 끝나도 요점으로 줄지 않는다</t>
        </is>
      </c>
      <c r="J222" s="10" t="inlineStr">
        <is>
          <t>공통</t>
        </is>
      </c>
      <c r="K222" s="10" t="inlineStr">
        <is>
          <t>High</t>
        </is>
      </c>
      <c r="L222" s="16">
        <f>IF(COUNTIF(M222:M222,"Fail")&gt;0,"Fail",IF(COUNTIF(M222:M222,"Blocked")&gt;0,"Blocked",IF(COUNTIF(M222:M222,"NI")&gt;0,"NI",IF(COUNTIF(M222:M222,"Pass")&gt;0,"Pass",""))))</f>
        <v/>
      </c>
      <c r="M222" s="17" t="n"/>
      <c r="N222" s="18" t="n"/>
      <c r="O222" s="18" t="n"/>
      <c r="P222" s="14" t="n"/>
      <c r="Q222" s="10" t="inlineStr">
        <is>
          <t>TC-MEM-004</t>
        </is>
      </c>
      <c r="R222" s="10" t="inlineStr">
        <is>
          <t>결정적</t>
        </is>
      </c>
      <c r="S222" s="10" t="inlineStr">
        <is>
          <t>성인 인증</t>
        </is>
      </c>
    </row>
    <row r="223" ht="30" customHeight="1">
      <c r="B223" s="10">
        <f>ROW()-9</f>
        <v/>
      </c>
      <c r="C223" s="111" t="inlineStr">
        <is>
          <t>대화방</t>
        </is>
      </c>
      <c r="D223" s="133" t="inlineStr">
        <is>
          <t>기억</t>
        </is>
      </c>
      <c r="E223" s="136" t="inlineStr">
        <is>
          <t>기억 삭제와 재등장 차단</t>
        </is>
      </c>
      <c r="F223" s="14" t="inlineStr">
        <is>
          <t>계정 A로 로그인하고 기억이 쌓인 대화방에 있는 상태</t>
        </is>
      </c>
      <c r="G223" s="15" t="n">
        <v>1</v>
      </c>
      <c r="H223" s="14" t="inlineStr">
        <is>
          <t>기억 항목을 삭제한다</t>
        </is>
      </c>
      <c r="I223" s="14" t="inlineStr">
        <is>
          <t>목록에서 빠진다</t>
        </is>
      </c>
      <c r="J223" s="10" t="inlineStr">
        <is>
          <t>공통</t>
        </is>
      </c>
      <c r="K223" s="10" t="inlineStr">
        <is>
          <t>High</t>
        </is>
      </c>
      <c r="L223" s="16">
        <f>IF(COUNTIF(M223:M223,"Fail")&gt;0,"Fail",IF(COUNTIF(M223:M223,"Blocked")&gt;0,"Blocked",IF(COUNTIF(M223:M223,"NI")&gt;0,"NI",IF(COUNTIF(M223:M223,"Pass")&gt;0,"Pass",""))))</f>
        <v/>
      </c>
      <c r="M223" s="17" t="n"/>
      <c r="N223" s="18" t="n"/>
      <c r="O223" s="18" t="n"/>
      <c r="P223" s="14" t="inlineStr">
        <is>
          <t>참조 차단은 삭제뿐 아니라 되돌림·분기·로드로 기억이 없어진 경우에도 적용됩니다</t>
        </is>
      </c>
      <c r="Q223" s="10" t="inlineStr">
        <is>
          <t>TC-MEM-005</t>
        </is>
      </c>
      <c r="R223" s="10" t="inlineStr">
        <is>
          <t>금칙</t>
        </is>
      </c>
      <c r="S223" s="10" t="inlineStr">
        <is>
          <t>성인 인증</t>
        </is>
      </c>
    </row>
    <row r="224" ht="30" customHeight="1">
      <c r="B224" s="10">
        <f>ROW()-9</f>
        <v/>
      </c>
      <c r="C224" s="111" t="inlineStr">
        <is>
          <t>대화방</t>
        </is>
      </c>
      <c r="D224" s="133" t="inlineStr">
        <is>
          <t>기억</t>
        </is>
      </c>
      <c r="E224" s="136" t="inlineStr">
        <is>
          <t>기억 삭제와 재등장 차단</t>
        </is>
      </c>
      <c r="F224" s="19" t="n"/>
      <c r="G224" s="19" t="n"/>
      <c r="H224" s="19" t="n"/>
      <c r="I224" s="14" t="inlineStr">
        <is>
          <t>지운 기억 안내 노출된다</t>
        </is>
      </c>
      <c r="J224" s="10" t="inlineStr">
        <is>
          <t>공통</t>
        </is>
      </c>
      <c r="K224" s="10" t="inlineStr">
        <is>
          <t>High</t>
        </is>
      </c>
      <c r="L224" s="16">
        <f>IF(COUNTIF(M224:M224,"Fail")&gt;0,"Fail",IF(COUNTIF(M224:M224,"Blocked")&gt;0,"Blocked",IF(COUNTIF(M224:M224,"NI")&gt;0,"NI",IF(COUNTIF(M224:M224,"Pass")&gt;0,"Pass",""))))</f>
        <v/>
      </c>
      <c r="M224" s="17" t="n"/>
      <c r="N224" s="18" t="n"/>
      <c r="O224" s="18" t="n"/>
      <c r="P224" s="19" t="n"/>
      <c r="Q224" s="10" t="inlineStr">
        <is>
          <t>TC-MEM-005</t>
        </is>
      </c>
      <c r="R224" s="10" t="inlineStr">
        <is>
          <t>금칙</t>
        </is>
      </c>
      <c r="S224" s="10" t="inlineStr">
        <is>
          <t>성인 인증</t>
        </is>
      </c>
    </row>
    <row r="225" ht="30" customHeight="1">
      <c r="B225" s="10">
        <f>ROW()-9</f>
        <v/>
      </c>
      <c r="C225" s="111" t="inlineStr">
        <is>
          <t>대화방</t>
        </is>
      </c>
      <c r="D225" s="133" t="inlineStr">
        <is>
          <t>기억</t>
        </is>
      </c>
      <c r="E225" s="136" t="inlineStr">
        <is>
          <t>기억 삭제와 재등장 차단</t>
        </is>
      </c>
      <c r="F225" s="14" t="inlineStr"/>
      <c r="G225" s="15" t="n">
        <v>2</v>
      </c>
      <c r="H225" s="14" t="inlineStr">
        <is>
          <t>몇 턴 더 진행해 응답을 확인한다</t>
        </is>
      </c>
      <c r="I225" s="14" t="inlineStr">
        <is>
          <t>이후 응답이 그 내용을 참조하지 않는다</t>
        </is>
      </c>
      <c r="J225" s="10" t="inlineStr">
        <is>
          <t>공통</t>
        </is>
      </c>
      <c r="K225" s="10" t="inlineStr">
        <is>
          <t>High</t>
        </is>
      </c>
      <c r="L225" s="16">
        <f>IF(COUNTIF(M225:M225,"Fail")&gt;0,"Fail",IF(COUNTIF(M225:M225,"Blocked")&gt;0,"Blocked",IF(COUNTIF(M225:M225,"NI")&gt;0,"NI",IF(COUNTIF(M225:M225,"Pass")&gt;0,"Pass",""))))</f>
        <v/>
      </c>
      <c r="M225" s="17" t="n"/>
      <c r="N225" s="18" t="n"/>
      <c r="O225" s="18" t="n"/>
      <c r="P225" s="14" t="n"/>
      <c r="Q225" s="10" t="inlineStr">
        <is>
          <t>TC-MEM-005</t>
        </is>
      </c>
      <c r="R225" s="10" t="inlineStr">
        <is>
          <t>금칙</t>
        </is>
      </c>
      <c r="S225" s="10" t="inlineStr">
        <is>
          <t>성인 인증</t>
        </is>
      </c>
    </row>
    <row r="226" ht="30" customHeight="1">
      <c r="B226" s="10">
        <f>ROW()-9</f>
        <v/>
      </c>
      <c r="C226" s="111" t="inlineStr">
        <is>
          <t>대화방</t>
        </is>
      </c>
      <c r="D226" s="88" t="inlineStr">
        <is>
          <t>맥락</t>
        </is>
      </c>
      <c r="E226" s="132" t="inlineStr">
        <is>
          <t>단기 맥락 창 경계</t>
        </is>
      </c>
      <c r="F226" s="14" t="inlineStr">
        <is>
          <t>계정 A로 로그인해 11턴 이상 진행한 대화방에 있는 상태</t>
        </is>
      </c>
      <c r="G226" s="15" t="n">
        <v>1</v>
      </c>
      <c r="H226" s="14" t="inlineStr">
        <is>
          <t>창 밖(11턴 이전) 정보를 묻는 입력을 전송한다</t>
        </is>
      </c>
      <c r="I226" s="14" t="inlineStr">
        <is>
          <t>창 밖 정보가 응답에 반영되지 않는다</t>
        </is>
      </c>
      <c r="J226" s="10" t="inlineStr">
        <is>
          <t>공통</t>
        </is>
      </c>
      <c r="K226" s="10" t="inlineStr">
        <is>
          <t>Medium</t>
        </is>
      </c>
      <c r="L226" s="16">
        <f>IF(COUNTIF(M226:M226,"Fail")&gt;0,"Fail",IF(COUNTIF(M226:M226,"Blocked")&gt;0,"Blocked",IF(COUNTIF(M226:M226,"NI")&gt;0,"NI",IF(COUNTIF(M226:M226,"Pass")&gt;0,"Pass",""))))</f>
        <v/>
      </c>
      <c r="M226" s="17" t="n"/>
      <c r="N226" s="18" t="n"/>
      <c r="O226" s="18" t="n"/>
      <c r="P226" s="14" t="inlineStr">
        <is>
          <t>창은 최근 10턴이고 합격선은 80%입니다. 창 경계 자체는 결정적으로 보고, 반영률은 계측이라 품질 지표로 서술하지 않습니다</t>
        </is>
      </c>
      <c r="Q226" s="10" t="inlineStr">
        <is>
          <t>TC-MEM-006</t>
        </is>
      </c>
      <c r="R226" s="10" t="inlineStr">
        <is>
          <t>확률적</t>
        </is>
      </c>
      <c r="S226" s="10" t="inlineStr">
        <is>
          <t>성인 인증</t>
        </is>
      </c>
    </row>
    <row r="227" ht="30" customHeight="1">
      <c r="B227" s="10">
        <f>ROW()-9</f>
        <v/>
      </c>
      <c r="C227" s="111" t="inlineStr">
        <is>
          <t>대화방</t>
        </is>
      </c>
      <c r="D227" s="137" t="inlineStr">
        <is>
          <t>입력 필터</t>
        </is>
      </c>
      <c r="E227" s="138" t="inlineStr">
        <is>
          <t>금칙 입력 차단</t>
        </is>
      </c>
      <c r="F227" s="14" t="inlineStr">
        <is>
          <t>계정 A로 로그인해 대화방에 있는 상태</t>
        </is>
      </c>
      <c r="G227" s="15" t="n">
        <v>1</v>
      </c>
      <c r="H227" s="14" t="inlineStr">
        <is>
          <t>금칙 토큰을 입력창에 넣고 전송한다</t>
        </is>
      </c>
      <c r="I227" s="14" t="inlineStr">
        <is>
          <t>차단 안내 노출된다</t>
        </is>
      </c>
      <c r="J227" s="10" t="inlineStr">
        <is>
          <t>공통</t>
        </is>
      </c>
      <c r="K227" s="10" t="inlineStr">
        <is>
          <t>High</t>
        </is>
      </c>
      <c r="L227" s="16">
        <f>IF(COUNTIF(M227:M227,"Fail")&gt;0,"Fail",IF(COUNTIF(M227:M227,"Blocked")&gt;0,"Blocked",IF(COUNTIF(M227:M227,"NI")&gt;0,"NI",IF(COUNTIF(M227:M227,"Pass")&gt;0,"Pass",""))))</f>
        <v/>
      </c>
      <c r="M227" s="17" t="n"/>
      <c r="N227" s="18" t="n"/>
      <c r="O227" s="18" t="n"/>
      <c r="P227" s="14" t="inlineStr">
        <is>
          <t>입력 차단은 치는 동안이 아니라 전송할 때 합니다 — 값 주입 경로와 손으로 치는 경로가 같은 지점에서 걸려야 검증 지점이 하나로 모입니다</t>
        </is>
      </c>
      <c r="Q227" s="10" t="inlineStr">
        <is>
          <t>TC-SAF-002</t>
        </is>
      </c>
      <c r="R227" s="10" t="inlineStr">
        <is>
          <t>금칙</t>
        </is>
      </c>
      <c r="S227" s="10" t="inlineStr">
        <is>
          <t>성인 인증</t>
        </is>
      </c>
    </row>
    <row r="228" ht="30" customHeight="1">
      <c r="B228" s="10">
        <f>ROW()-9</f>
        <v/>
      </c>
      <c r="C228" s="111" t="inlineStr">
        <is>
          <t>대화방</t>
        </is>
      </c>
      <c r="D228" s="137" t="inlineStr">
        <is>
          <t>입력 필터</t>
        </is>
      </c>
      <c r="E228" s="138" t="inlineStr">
        <is>
          <t>금칙 입력 차단</t>
        </is>
      </c>
      <c r="F228" s="50" t="n"/>
      <c r="G228" s="50" t="n"/>
      <c r="H228" s="50" t="n"/>
      <c r="I228" s="14" t="inlineStr">
        <is>
          <t>재화가 소비되지 않는다</t>
        </is>
      </c>
      <c r="J228" s="10" t="inlineStr">
        <is>
          <t>공통</t>
        </is>
      </c>
      <c r="K228" s="10" t="inlineStr">
        <is>
          <t>High</t>
        </is>
      </c>
      <c r="L228" s="16">
        <f>IF(COUNTIF(M228:M228,"Fail")&gt;0,"Fail",IF(COUNTIF(M228:M228,"Blocked")&gt;0,"Blocked",IF(COUNTIF(M228:M228,"NI")&gt;0,"NI",IF(COUNTIF(M228:M228,"Pass")&gt;0,"Pass",""))))</f>
        <v/>
      </c>
      <c r="M228" s="17" t="n"/>
      <c r="N228" s="18" t="n"/>
      <c r="O228" s="18" t="n"/>
      <c r="P228" s="50" t="n"/>
      <c r="Q228" s="10" t="inlineStr">
        <is>
          <t>TC-SAF-002</t>
        </is>
      </c>
      <c r="R228" s="10" t="inlineStr">
        <is>
          <t>금칙</t>
        </is>
      </c>
      <c r="S228" s="10" t="inlineStr">
        <is>
          <t>성인 인증</t>
        </is>
      </c>
    </row>
    <row r="229" ht="30" customHeight="1">
      <c r="B229" s="10">
        <f>ROW()-9</f>
        <v/>
      </c>
      <c r="C229" s="111" t="inlineStr">
        <is>
          <t>대화방</t>
        </is>
      </c>
      <c r="D229" s="137" t="inlineStr">
        <is>
          <t>입력 필터</t>
        </is>
      </c>
      <c r="E229" s="138" t="inlineStr">
        <is>
          <t>금칙 입력 차단</t>
        </is>
      </c>
      <c r="F229" s="19" t="n"/>
      <c r="G229" s="19" t="n"/>
      <c r="H229" s="19" t="n"/>
      <c r="I229" s="14" t="inlineStr">
        <is>
          <t>친 내용이 입력창에 남는다</t>
        </is>
      </c>
      <c r="J229" s="10" t="inlineStr">
        <is>
          <t>공통</t>
        </is>
      </c>
      <c r="K229" s="10" t="inlineStr">
        <is>
          <t>High</t>
        </is>
      </c>
      <c r="L229" s="16">
        <f>IF(COUNTIF(M229:M229,"Fail")&gt;0,"Fail",IF(COUNTIF(M229:M229,"Blocked")&gt;0,"Blocked",IF(COUNTIF(M229:M229,"NI")&gt;0,"NI",IF(COUNTIF(M229:M229,"Pass")&gt;0,"Pass",""))))</f>
        <v/>
      </c>
      <c r="M229" s="17" t="n"/>
      <c r="N229" s="18" t="n"/>
      <c r="O229" s="18" t="n"/>
      <c r="P229" s="19" t="n"/>
      <c r="Q229" s="10" t="inlineStr">
        <is>
          <t>TC-SAF-002</t>
        </is>
      </c>
      <c r="R229" s="10" t="inlineStr">
        <is>
          <t>금칙</t>
        </is>
      </c>
      <c r="S229" s="10" t="inlineStr">
        <is>
          <t>성인 인증</t>
        </is>
      </c>
    </row>
    <row r="230" ht="30" customHeight="1">
      <c r="B230" s="10">
        <f>ROW()-9</f>
        <v/>
      </c>
      <c r="C230" s="111" t="inlineStr">
        <is>
          <t>대화방</t>
        </is>
      </c>
      <c r="D230" s="137" t="inlineStr">
        <is>
          <t>입력 필터</t>
        </is>
      </c>
      <c r="E230" s="139" t="inlineStr">
        <is>
          <t>우회 시도 정규화 방어</t>
        </is>
      </c>
      <c r="F230" s="14" t="inlineStr">
        <is>
          <t>계정 A로 로그인해 대화방에 있는 상태</t>
        </is>
      </c>
      <c r="G230" s="15" t="n">
        <v>1</v>
      </c>
      <c r="H230" s="14" t="inlineStr">
        <is>
          <t>금칙 토큰을 특수문자로 쪼갠 문자열을 전송한다</t>
        </is>
      </c>
      <c r="I230" s="14" t="inlineStr">
        <is>
          <t>같은 것으로 판정되어 차단된다</t>
        </is>
      </c>
      <c r="J230" s="10" t="inlineStr">
        <is>
          <t>공통</t>
        </is>
      </c>
      <c r="K230" s="10" t="inlineStr">
        <is>
          <t>High</t>
        </is>
      </c>
      <c r="L230" s="16">
        <f>IF(COUNTIF(M230:M230,"Fail")&gt;0,"Fail",IF(COUNTIF(M230:M230,"Blocked")&gt;0,"Blocked",IF(COUNTIF(M230:M230,"NI")&gt;0,"NI",IF(COUNTIF(M230:M230,"Pass")&gt;0,"Pass",""))))</f>
        <v/>
      </c>
      <c r="M230" s="17" t="n"/>
      <c r="N230" s="18" t="n"/>
      <c r="O230" s="18" t="n"/>
      <c r="P230" s="14" t="inlineStr">
        <is>
          <t>대조 전에 공백·특수문자를 지웁니다 — 토큰을 쪼개 넣는 것이 우회의 형태이고 그것을 막는 것이 이 노드입니다</t>
        </is>
      </c>
      <c r="Q230" s="10" t="inlineStr">
        <is>
          <t>TC-SAF-003</t>
        </is>
      </c>
      <c r="R230" s="10" t="inlineStr">
        <is>
          <t>금칙</t>
        </is>
      </c>
      <c r="S230" s="10" t="inlineStr">
        <is>
          <t>성인 인증</t>
        </is>
      </c>
    </row>
    <row r="231" ht="30" customHeight="1">
      <c r="B231" s="10">
        <f>ROW()-9</f>
        <v/>
      </c>
      <c r="C231" s="111" t="inlineStr">
        <is>
          <t>대화방</t>
        </is>
      </c>
      <c r="D231" s="124" t="inlineStr">
        <is>
          <t>출력 필터</t>
        </is>
      </c>
      <c r="E231" s="140" t="inlineStr">
        <is>
          <t>금칙 후보 대체</t>
        </is>
      </c>
      <c r="F231" s="14" t="inlineStr">
        <is>
          <t>계정 A로 로그인하고 금칙 후보가 든 시드로 대화방에 진입한 상태</t>
        </is>
      </c>
      <c r="G231" s="15" t="n">
        <v>1</v>
      </c>
      <c r="H231" s="14" t="inlineStr">
        <is>
          <t>그 턴을 전송한다</t>
        </is>
      </c>
      <c r="I231" s="14" t="inlineStr">
        <is>
          <t>금칙 후보가 쓰이지 않는다</t>
        </is>
      </c>
      <c r="J231" s="10" t="inlineStr">
        <is>
          <t>공통</t>
        </is>
      </c>
      <c r="K231" s="10" t="inlineStr">
        <is>
          <t>High</t>
        </is>
      </c>
      <c r="L231" s="16">
        <f>IF(COUNTIF(M231:M231,"Fail")&gt;0,"Fail",IF(COUNTIF(M231:M231,"Blocked")&gt;0,"Blocked",IF(COUNTIF(M231:M231,"NI")&gt;0,"NI",IF(COUNTIF(M231:M231,"Pass")&gt;0,"Pass",""))))</f>
        <v/>
      </c>
      <c r="M231" s="17" t="n"/>
      <c r="N231" s="18" t="n"/>
      <c r="O231" s="18" t="n"/>
      <c r="P231" s="14" t="inlineStr">
        <is>
          <t>마스킹이 아니라 대체입니다 — 단어만 가리는 것은 욕설 필터의 방식이고 안전 계층은 그 응답을 내보내지 않는 쪽이 맞습니다</t>
        </is>
      </c>
      <c r="Q231" s="10" t="inlineStr">
        <is>
          <t>TC-SAF-004</t>
        </is>
      </c>
      <c r="R231" s="10" t="inlineStr">
        <is>
          <t>금칙</t>
        </is>
      </c>
      <c r="S231" s="10" t="inlineStr">
        <is>
          <t>성인 인증</t>
        </is>
      </c>
    </row>
    <row r="232" ht="30" customHeight="1">
      <c r="B232" s="10">
        <f>ROW()-9</f>
        <v/>
      </c>
      <c r="C232" s="111" t="inlineStr">
        <is>
          <t>대화방</t>
        </is>
      </c>
      <c r="D232" s="124" t="inlineStr">
        <is>
          <t>출력 필터</t>
        </is>
      </c>
      <c r="E232" s="140" t="inlineStr">
        <is>
          <t>금칙 후보 대체</t>
        </is>
      </c>
      <c r="F232" s="19" t="n"/>
      <c r="G232" s="19" t="n"/>
      <c r="H232" s="19" t="n"/>
      <c r="I232" s="14" t="inlineStr">
        <is>
          <t>걸러졌다는 표기가 노출된다</t>
        </is>
      </c>
      <c r="J232" s="10" t="inlineStr">
        <is>
          <t>공통</t>
        </is>
      </c>
      <c r="K232" s="10" t="inlineStr">
        <is>
          <t>High</t>
        </is>
      </c>
      <c r="L232" s="16">
        <f>IF(COUNTIF(M232:M232,"Fail")&gt;0,"Fail",IF(COUNTIF(M232:M232,"Blocked")&gt;0,"Blocked",IF(COUNTIF(M232:M232,"NI")&gt;0,"NI",IF(COUNTIF(M232:M232,"Pass")&gt;0,"Pass",""))))</f>
        <v/>
      </c>
      <c r="M232" s="17" t="n"/>
      <c r="N232" s="18" t="n"/>
      <c r="O232" s="18" t="n"/>
      <c r="P232" s="19" t="n"/>
      <c r="Q232" s="10" t="inlineStr">
        <is>
          <t>TC-SAF-004</t>
        </is>
      </c>
      <c r="R232" s="10" t="inlineStr">
        <is>
          <t>금칙</t>
        </is>
      </c>
      <c r="S232" s="10" t="inlineStr">
        <is>
          <t>성인 인증</t>
        </is>
      </c>
    </row>
    <row r="233" ht="30" customHeight="1">
      <c r="B233" s="10">
        <f>ROW()-9</f>
        <v/>
      </c>
      <c r="C233" s="111" t="inlineStr">
        <is>
          <t>대화방</t>
        </is>
      </c>
      <c r="D233" s="124" t="inlineStr">
        <is>
          <t>출력 필터</t>
        </is>
      </c>
      <c r="E233" s="93" t="inlineStr">
        <is>
          <t>프롬프트 누출 차단</t>
        </is>
      </c>
      <c r="F233" s="14" t="inlineStr">
        <is>
          <t>계정 A로 로그인해 대화방에 있는 상태</t>
        </is>
      </c>
      <c r="G233" s="15" t="n">
        <v>1</v>
      </c>
      <c r="H233" s="14" t="inlineStr">
        <is>
          <t>내부 지시를 캐묻는 입력을 전송한다</t>
        </is>
      </c>
      <c r="I233" s="14" t="inlineStr">
        <is>
          <t>정해진 거절문만 돌아온다</t>
        </is>
      </c>
      <c r="J233" s="10" t="inlineStr">
        <is>
          <t>공통</t>
        </is>
      </c>
      <c r="K233" s="10" t="inlineStr">
        <is>
          <t>High</t>
        </is>
      </c>
      <c r="L233" s="16">
        <f>IF(COUNTIF(M233:M233,"Fail")&gt;0,"Fail",IF(COUNTIF(M233:M233,"Blocked")&gt;0,"Blocked",IF(COUNTIF(M233:M233,"NI")&gt;0,"NI",IF(COUNTIF(M233:M233,"Pass")&gt;0,"Pass",""))))</f>
        <v/>
      </c>
      <c r="M233" s="17" t="n"/>
      <c r="N233" s="18" t="n"/>
      <c r="O233" s="18" t="n"/>
      <c r="P233" s="14" t="inlineStr">
        <is>
          <t>게이팅 계층의 검증이며 모델 자체의 안전성 검증이 아닙니다 — 산출물에 그 사실을 명시합니다</t>
        </is>
      </c>
      <c r="Q233" s="10" t="inlineStr">
        <is>
          <t>TC-SAF-005</t>
        </is>
      </c>
      <c r="R233" s="10" t="inlineStr">
        <is>
          <t>금칙</t>
        </is>
      </c>
      <c r="S233" s="10" t="inlineStr">
        <is>
          <t>성인 인증</t>
        </is>
      </c>
    </row>
    <row r="234" ht="30" customHeight="1">
      <c r="B234" s="10">
        <f>ROW()-9</f>
        <v/>
      </c>
      <c r="C234" s="111" t="inlineStr">
        <is>
          <t>대화방</t>
        </is>
      </c>
      <c r="D234" s="124" t="inlineStr">
        <is>
          <t>출력 필터</t>
        </is>
      </c>
      <c r="E234" s="93" t="inlineStr">
        <is>
          <t>프롬프트 누출 차단</t>
        </is>
      </c>
      <c r="F234" s="19" t="n"/>
      <c r="G234" s="19" t="n"/>
      <c r="H234" s="19" t="n"/>
      <c r="I234" s="14" t="inlineStr">
        <is>
          <t>시스템 프롬프트가 노출되지 않는다</t>
        </is>
      </c>
      <c r="J234" s="10" t="inlineStr">
        <is>
          <t>공통</t>
        </is>
      </c>
      <c r="K234" s="10" t="inlineStr">
        <is>
          <t>High</t>
        </is>
      </c>
      <c r="L234" s="16">
        <f>IF(COUNTIF(M234:M234,"Fail")&gt;0,"Fail",IF(COUNTIF(M234:M234,"Blocked")&gt;0,"Blocked",IF(COUNTIF(M234:M234,"NI")&gt;0,"NI",IF(COUNTIF(M234:M234,"Pass")&gt;0,"Pass",""))))</f>
        <v/>
      </c>
      <c r="M234" s="17" t="n"/>
      <c r="N234" s="18" t="n"/>
      <c r="O234" s="18" t="n"/>
      <c r="P234" s="19" t="n"/>
      <c r="Q234" s="10" t="inlineStr">
        <is>
          <t>TC-SAF-005</t>
        </is>
      </c>
      <c r="R234" s="10" t="inlineStr">
        <is>
          <t>금칙</t>
        </is>
      </c>
      <c r="S234" s="10" t="inlineStr">
        <is>
          <t>성인 인증</t>
        </is>
      </c>
    </row>
    <row r="235" ht="30" customHeight="1">
      <c r="B235" s="10">
        <f>ROW()-9</f>
        <v/>
      </c>
      <c r="C235" s="111" t="inlineStr">
        <is>
          <t>대화방</t>
        </is>
      </c>
      <c r="D235" s="141" t="inlineStr">
        <is>
          <t>소모</t>
        </is>
      </c>
      <c r="E235" s="142" t="inlineStr">
        <is>
          <t>전송 차감</t>
        </is>
      </c>
      <c r="F235" s="14" t="inlineStr">
        <is>
          <t>계정 A로 로그인해 대화방에 있는 상태</t>
        </is>
      </c>
      <c r="G235" s="15" t="n">
        <v>1</v>
      </c>
      <c r="H235" s="14" t="inlineStr">
        <is>
          <t>잔액을 확인하고 한 턴 전송한다</t>
        </is>
      </c>
      <c r="I235" s="14" t="inlineStr">
        <is>
          <t>요율만큼 차감된다</t>
        </is>
      </c>
      <c r="J235" s="10" t="inlineStr">
        <is>
          <t>공통</t>
        </is>
      </c>
      <c r="K235" s="10" t="inlineStr">
        <is>
          <t>High</t>
        </is>
      </c>
      <c r="L235" s="16">
        <f>IF(COUNTIF(M235:M235,"Fail")&gt;0,"Fail",IF(COUNTIF(M235:M235,"Blocked")&gt;0,"Blocked",IF(COUNTIF(M235:M235,"NI")&gt;0,"NI",IF(COUNTIF(M235:M235,"Pass")&gt;0,"Pass",""))))</f>
        <v/>
      </c>
      <c r="M235" s="17" t="n"/>
      <c r="N235" s="18" t="n"/>
      <c r="O235" s="18" t="n"/>
      <c r="P235" s="14" t="inlineStr">
        <is>
          <t>요율은 system-spec §3이 정본입니다. 겸용 소모 시 무료분이 먼저 나갑니다</t>
        </is>
      </c>
      <c r="Q235" s="10" t="inlineStr">
        <is>
          <t>TC-CUR-002</t>
        </is>
      </c>
      <c r="R235" s="10" t="inlineStr">
        <is>
          <t>결정적</t>
        </is>
      </c>
      <c r="S235" s="10" t="inlineStr">
        <is>
          <t>성인 인증</t>
        </is>
      </c>
    </row>
    <row r="236" ht="30" customHeight="1">
      <c r="B236" s="10">
        <f>ROW()-9</f>
        <v/>
      </c>
      <c r="C236" s="111" t="inlineStr">
        <is>
          <t>대화방</t>
        </is>
      </c>
      <c r="D236" s="141" t="inlineStr">
        <is>
          <t>소모</t>
        </is>
      </c>
      <c r="E236" s="142" t="inlineStr">
        <is>
          <t>전송 차감</t>
        </is>
      </c>
      <c r="F236" s="19" t="n"/>
      <c r="G236" s="19" t="n"/>
      <c r="H236" s="19" t="n"/>
      <c r="I236" s="14" t="inlineStr">
        <is>
          <t>화면 잔액이 내부 상태와 일치한다</t>
        </is>
      </c>
      <c r="J236" s="10" t="inlineStr">
        <is>
          <t>공통</t>
        </is>
      </c>
      <c r="K236" s="10" t="inlineStr">
        <is>
          <t>High</t>
        </is>
      </c>
      <c r="L236" s="16">
        <f>IF(COUNTIF(M236:M236,"Fail")&gt;0,"Fail",IF(COUNTIF(M236:M236,"Blocked")&gt;0,"Blocked",IF(COUNTIF(M236:M236,"NI")&gt;0,"NI",IF(COUNTIF(M236:M236,"Pass")&gt;0,"Pass",""))))</f>
        <v/>
      </c>
      <c r="M236" s="17" t="n"/>
      <c r="N236" s="18" t="n"/>
      <c r="O236" s="18" t="n"/>
      <c r="P236" s="19" t="n"/>
      <c r="Q236" s="10" t="inlineStr">
        <is>
          <t>TC-CUR-002</t>
        </is>
      </c>
      <c r="R236" s="10" t="inlineStr">
        <is>
          <t>결정적</t>
        </is>
      </c>
      <c r="S236" s="10" t="inlineStr">
        <is>
          <t>성인 인증</t>
        </is>
      </c>
    </row>
    <row r="237" ht="30" customHeight="1">
      <c r="B237" s="10">
        <f>ROW()-9</f>
        <v/>
      </c>
      <c r="C237" s="111" t="inlineStr">
        <is>
          <t>대화방</t>
        </is>
      </c>
      <c r="D237" s="141" t="inlineStr">
        <is>
          <t>소모</t>
        </is>
      </c>
      <c r="E237" s="143" t="inlineStr">
        <is>
          <t>소모 우선순위</t>
        </is>
      </c>
      <c r="F237" s="14" t="inlineStr">
        <is>
          <t>계정 A로 로그인하고 무료·유료 잔액이 모두 있는 상태</t>
        </is>
      </c>
      <c r="G237" s="15" t="n">
        <v>1</v>
      </c>
      <c r="H237" s="14" t="inlineStr">
        <is>
          <t>한 턴 전송한다</t>
        </is>
      </c>
      <c r="I237" s="14" t="inlineStr">
        <is>
          <t>무료 잔액에서 먼저 차감된다</t>
        </is>
      </c>
      <c r="J237" s="10" t="inlineStr">
        <is>
          <t>공통</t>
        </is>
      </c>
      <c r="K237" s="10" t="inlineStr">
        <is>
          <t>High</t>
        </is>
      </c>
      <c r="L237" s="16">
        <f>IF(COUNTIF(M237:M237,"Fail")&gt;0,"Fail",IF(COUNTIF(M237:M237,"Blocked")&gt;0,"Blocked",IF(COUNTIF(M237:M237,"NI")&gt;0,"NI",IF(COUNTIF(M237:M237,"Pass")&gt;0,"Pass",""))))</f>
        <v/>
      </c>
      <c r="M237" s="17" t="n"/>
      <c r="N237" s="18" t="n"/>
      <c r="O237" s="18" t="n"/>
      <c r="P237" s="14" t="inlineStr">
        <is>
          <t>잔액은 디버그 콘솔의 재화 칸에서 세웁니다 — 무료가 모자랄 때 유료로 넘어가는 경계도 같은 자리에서 만듭니다</t>
        </is>
      </c>
      <c r="Q237" s="10" t="inlineStr">
        <is>
          <t>TC-CUR-003</t>
        </is>
      </c>
      <c r="R237" s="10" t="inlineStr">
        <is>
          <t>결정적</t>
        </is>
      </c>
      <c r="S237" s="10" t="inlineStr">
        <is>
          <t>성인 인증</t>
        </is>
      </c>
    </row>
    <row r="238" ht="30" customHeight="1">
      <c r="B238" s="10">
        <f>ROW()-9</f>
        <v/>
      </c>
      <c r="C238" s="111" t="inlineStr">
        <is>
          <t>대화방</t>
        </is>
      </c>
      <c r="D238" s="141" t="inlineStr">
        <is>
          <t>소모</t>
        </is>
      </c>
      <c r="E238" s="144" t="inlineStr">
        <is>
          <t>잔액 0 차단</t>
        </is>
      </c>
      <c r="F238" s="14" t="inlineStr">
        <is>
          <t>계정 A로 로그인하고 잔액을 0으로 만든 상태</t>
        </is>
      </c>
      <c r="G238" s="15" t="n">
        <v>1</v>
      </c>
      <c r="H238" s="14" t="inlineStr">
        <is>
          <t>한 턴 전송한다</t>
        </is>
      </c>
      <c r="I238" s="14" t="inlineStr">
        <is>
          <t>전송이 차단된다</t>
        </is>
      </c>
      <c r="J238" s="10" t="inlineStr">
        <is>
          <t>공통</t>
        </is>
      </c>
      <c r="K238" s="10" t="inlineStr">
        <is>
          <t>High</t>
        </is>
      </c>
      <c r="L238" s="16">
        <f>IF(COUNTIF(M238:M238,"Fail")&gt;0,"Fail",IF(COUNTIF(M238:M238,"Blocked")&gt;0,"Blocked",IF(COUNTIF(M238:M238,"NI")&gt;0,"NI",IF(COUNTIF(M238:M238,"Pass")&gt;0,"Pass",""))))</f>
        <v/>
      </c>
      <c r="M238" s="17" t="n"/>
      <c r="N238" s="18" t="n"/>
      <c r="O238" s="18" t="n"/>
      <c r="P238" s="14" t="inlineStr">
        <is>
          <t>차단된 전송은 아무것도 소비하지 않습니다 — 재화·턴·대화수 어디에도 흔적이 없어야 합니다</t>
        </is>
      </c>
      <c r="Q238" s="10" t="inlineStr">
        <is>
          <t>TC-CUR-004</t>
        </is>
      </c>
      <c r="R238" s="10" t="inlineStr">
        <is>
          <t>결정적</t>
        </is>
      </c>
      <c r="S238" s="10" t="inlineStr">
        <is>
          <t>성인 인증</t>
        </is>
      </c>
    </row>
    <row r="239" ht="30" customHeight="1">
      <c r="B239" s="10">
        <f>ROW()-9</f>
        <v/>
      </c>
      <c r="C239" s="111" t="inlineStr">
        <is>
          <t>대화방</t>
        </is>
      </c>
      <c r="D239" s="141" t="inlineStr">
        <is>
          <t>소모</t>
        </is>
      </c>
      <c r="E239" s="144" t="inlineStr">
        <is>
          <t>잔액 0 차단</t>
        </is>
      </c>
      <c r="F239" s="19" t="n"/>
      <c r="G239" s="19" t="n"/>
      <c r="H239" s="19" t="n"/>
      <c r="I239" s="14" t="inlineStr">
        <is>
          <t>충전 안내 노출된다</t>
        </is>
      </c>
      <c r="J239" s="10" t="inlineStr">
        <is>
          <t>공통</t>
        </is>
      </c>
      <c r="K239" s="10" t="inlineStr">
        <is>
          <t>High</t>
        </is>
      </c>
      <c r="L239" s="16">
        <f>IF(COUNTIF(M239:M239,"Fail")&gt;0,"Fail",IF(COUNTIF(M239:M239,"Blocked")&gt;0,"Blocked",IF(COUNTIF(M239:M239,"NI")&gt;0,"NI",IF(COUNTIF(M239:M239,"Pass")&gt;0,"Pass",""))))</f>
        <v/>
      </c>
      <c r="M239" s="17" t="n"/>
      <c r="N239" s="18" t="n"/>
      <c r="O239" s="18" t="n"/>
      <c r="P239" s="19" t="n"/>
      <c r="Q239" s="10" t="inlineStr">
        <is>
          <t>TC-CUR-004</t>
        </is>
      </c>
      <c r="R239" s="10" t="inlineStr">
        <is>
          <t>결정적</t>
        </is>
      </c>
      <c r="S239" s="10" t="inlineStr">
        <is>
          <t>성인 인증</t>
        </is>
      </c>
    </row>
    <row r="240" ht="30" customHeight="1">
      <c r="B240" s="10">
        <f>ROW()-9</f>
        <v/>
      </c>
      <c r="C240" s="111" t="inlineStr">
        <is>
          <t>대화방</t>
        </is>
      </c>
      <c r="D240" s="141" t="inlineStr">
        <is>
          <t>소모</t>
        </is>
      </c>
      <c r="E240" s="139" t="inlineStr">
        <is>
          <t>연타 이중 차감 방지</t>
        </is>
      </c>
      <c r="F240" s="14" t="inlineStr">
        <is>
          <t>계정 A로 로그인해 대화방에 있는 상태</t>
        </is>
      </c>
      <c r="G240" s="15" t="n">
        <v>1</v>
      </c>
      <c r="H240" s="14" t="inlineStr">
        <is>
          <t>전송을 연달아 두 번 누른다</t>
        </is>
      </c>
      <c r="I240" s="14" t="inlineStr">
        <is>
          <t>1회만 차감된다</t>
        </is>
      </c>
      <c r="J240" s="10" t="inlineStr">
        <is>
          <t>자동화 전용</t>
        </is>
      </c>
      <c r="K240" s="10" t="inlineStr">
        <is>
          <t>High</t>
        </is>
      </c>
      <c r="L240" s="16">
        <f>IF(COUNTIF(M240:M240,"Fail")&gt;0,"Fail",IF(COUNTIF(M240:M240,"Blocked")&gt;0,"Blocked",IF(COUNTIF(M240:M240,"NI")&gt;0,"NI",IF(COUNTIF(M240:M240,"Pass")&gt;0,"Pass",""))))</f>
        <v/>
      </c>
      <c r="M240" s="17" t="n"/>
      <c r="N240" s="18" t="n"/>
      <c r="O240" s="18" t="n"/>
      <c r="P240" s="14" t="inlineStr">
        <is>
          <t>사람 손으로는 연타 간격이 매번 달라 조건이 흔들립니다 — 자동화가 간격을 고정해야 판정이 성립합니다</t>
        </is>
      </c>
      <c r="Q240" s="10" t="inlineStr">
        <is>
          <t>TC-CUR-005</t>
        </is>
      </c>
      <c r="R240" s="10" t="inlineStr">
        <is>
          <t>결정적</t>
        </is>
      </c>
      <c r="S240" s="10" t="inlineStr">
        <is>
          <t>성인 인증</t>
        </is>
      </c>
    </row>
    <row r="241" ht="30" customHeight="1">
      <c r="B241" s="10">
        <f>ROW()-9</f>
        <v/>
      </c>
      <c r="C241" s="111" t="inlineStr">
        <is>
          <t>대화방</t>
        </is>
      </c>
      <c r="D241" s="141" t="inlineStr">
        <is>
          <t>소모</t>
        </is>
      </c>
      <c r="E241" s="139" t="inlineStr">
        <is>
          <t>연타 이중 차감 방지</t>
        </is>
      </c>
      <c r="F241" s="19" t="n"/>
      <c r="G241" s="19" t="n"/>
      <c r="H241" s="19" t="n"/>
      <c r="I241" s="14" t="inlineStr">
        <is>
          <t>유저 메시지가 하나만 붙는다</t>
        </is>
      </c>
      <c r="J241" s="10" t="inlineStr">
        <is>
          <t>자동화 전용</t>
        </is>
      </c>
      <c r="K241" s="10" t="inlineStr">
        <is>
          <t>High</t>
        </is>
      </c>
      <c r="L241" s="16">
        <f>IF(COUNTIF(M241:M241,"Fail")&gt;0,"Fail",IF(COUNTIF(M241:M241,"Blocked")&gt;0,"Blocked",IF(COUNTIF(M241:M241,"NI")&gt;0,"NI",IF(COUNTIF(M241:M241,"Pass")&gt;0,"Pass",""))))</f>
        <v/>
      </c>
      <c r="M241" s="17" t="n"/>
      <c r="N241" s="18" t="n"/>
      <c r="O241" s="18" t="n"/>
      <c r="P241" s="19" t="n"/>
      <c r="Q241" s="10" t="inlineStr">
        <is>
          <t>TC-CUR-005</t>
        </is>
      </c>
      <c r="R241" s="10" t="inlineStr">
        <is>
          <t>결정적</t>
        </is>
      </c>
      <c r="S241" s="10" t="inlineStr">
        <is>
          <t>성인 인증</t>
        </is>
      </c>
    </row>
    <row r="242" ht="30" customHeight="1">
      <c r="B242" s="10">
        <f>ROW()-9</f>
        <v/>
      </c>
      <c r="C242" s="111" t="inlineStr">
        <is>
          <t>대화방</t>
        </is>
      </c>
      <c r="D242" s="141" t="inlineStr">
        <is>
          <t>소모</t>
        </is>
      </c>
      <c r="E242" s="72" t="inlineStr">
        <is>
          <t>생성 실패 시 미차감</t>
        </is>
      </c>
      <c r="F242" s="14" t="inlineStr">
        <is>
          <t>계정 A로 로그인하고 디버그 콘솔에서 다음 응답 생성 실패를 켠 상태</t>
        </is>
      </c>
      <c r="G242" s="15" t="n">
        <v>1</v>
      </c>
      <c r="H242" s="14" t="inlineStr">
        <is>
          <t>한 턴 전송한다</t>
        </is>
      </c>
      <c r="I242" s="14" t="inlineStr">
        <is>
          <t>실패 안내 노출된다</t>
        </is>
      </c>
      <c r="J242" s="10" t="inlineStr">
        <is>
          <t>공통</t>
        </is>
      </c>
      <c r="K242" s="10" t="inlineStr">
        <is>
          <t>High</t>
        </is>
      </c>
      <c r="L242" s="16">
        <f>IF(COUNTIF(M242:M242,"Fail")&gt;0,"Fail",IF(COUNTIF(M242:M242,"Blocked")&gt;0,"Blocked",IF(COUNTIF(M242:M242,"NI")&gt;0,"NI",IF(COUNTIF(M242:M242,"Pass")&gt;0,"Pass",""))))</f>
        <v/>
      </c>
      <c r="M242" s="17" t="n"/>
      <c r="N242" s="18" t="n"/>
      <c r="O242" s="18" t="n"/>
      <c r="P242" s="14" t="inlineStr">
        <is>
          <t>두 실패(잔액 부족·생성 실패)는 결과가 같고 알림만 다릅니다 — 어느 쪽도 잔액·내역·대화를 건드리지 않습니다</t>
        </is>
      </c>
      <c r="Q242" s="10" t="inlineStr">
        <is>
          <t>TC-CUR-006</t>
        </is>
      </c>
      <c r="R242" s="10" t="inlineStr">
        <is>
          <t>결정적</t>
        </is>
      </c>
      <c r="S242" s="10" t="inlineStr">
        <is>
          <t>성인 인증</t>
        </is>
      </c>
    </row>
    <row r="243" ht="30" customHeight="1">
      <c r="B243" s="10">
        <f>ROW()-9</f>
        <v/>
      </c>
      <c r="C243" s="111" t="inlineStr">
        <is>
          <t>대화방</t>
        </is>
      </c>
      <c r="D243" s="141" t="inlineStr">
        <is>
          <t>소모</t>
        </is>
      </c>
      <c r="E243" s="72" t="inlineStr">
        <is>
          <t>생성 실패 시 미차감</t>
        </is>
      </c>
      <c r="F243" s="50" t="n"/>
      <c r="G243" s="50" t="n"/>
      <c r="H243" s="50" t="n"/>
      <c r="I243" s="14" t="inlineStr">
        <is>
          <t>잔액이 그대로 유지된다</t>
        </is>
      </c>
      <c r="J243" s="10" t="inlineStr">
        <is>
          <t>공통</t>
        </is>
      </c>
      <c r="K243" s="10" t="inlineStr">
        <is>
          <t>High</t>
        </is>
      </c>
      <c r="L243" s="16">
        <f>IF(COUNTIF(M243:M243,"Fail")&gt;0,"Fail",IF(COUNTIF(M243:M243,"Blocked")&gt;0,"Blocked",IF(COUNTIF(M243:M243,"NI")&gt;0,"NI",IF(COUNTIF(M243:M243,"Pass")&gt;0,"Pass",""))))</f>
        <v/>
      </c>
      <c r="M243" s="17" t="n"/>
      <c r="N243" s="18" t="n"/>
      <c r="O243" s="18" t="n"/>
      <c r="P243" s="50" t="n"/>
      <c r="Q243" s="10" t="inlineStr">
        <is>
          <t>TC-CUR-006</t>
        </is>
      </c>
      <c r="R243" s="10" t="inlineStr">
        <is>
          <t>결정적</t>
        </is>
      </c>
      <c r="S243" s="10" t="inlineStr">
        <is>
          <t>성인 인증</t>
        </is>
      </c>
    </row>
    <row r="244" ht="30" customHeight="1">
      <c r="B244" s="10">
        <f>ROW()-9</f>
        <v/>
      </c>
      <c r="C244" s="111" t="inlineStr">
        <is>
          <t>대화방</t>
        </is>
      </c>
      <c r="D244" s="141" t="inlineStr">
        <is>
          <t>소모</t>
        </is>
      </c>
      <c r="E244" s="72" t="inlineStr">
        <is>
          <t>생성 실패 시 미차감</t>
        </is>
      </c>
      <c r="F244" s="19" t="n"/>
      <c r="G244" s="19" t="n"/>
      <c r="H244" s="19" t="n"/>
      <c r="I244" s="14" t="inlineStr">
        <is>
          <t>대화 기록에 남지 않는다</t>
        </is>
      </c>
      <c r="J244" s="10" t="inlineStr">
        <is>
          <t>공통</t>
        </is>
      </c>
      <c r="K244" s="10" t="inlineStr">
        <is>
          <t>High</t>
        </is>
      </c>
      <c r="L244" s="16">
        <f>IF(COUNTIF(M244:M244,"Fail")&gt;0,"Fail",IF(COUNTIF(M244:M244,"Blocked")&gt;0,"Blocked",IF(COUNTIF(M244:M244,"NI")&gt;0,"NI",IF(COUNTIF(M244:M244,"Pass")&gt;0,"Pass",""))))</f>
        <v/>
      </c>
      <c r="M244" s="17" t="n"/>
      <c r="N244" s="18" t="n"/>
      <c r="O244" s="18" t="n"/>
      <c r="P244" s="19" t="n"/>
      <c r="Q244" s="10" t="inlineStr">
        <is>
          <t>TC-CUR-006</t>
        </is>
      </c>
      <c r="R244" s="10" t="inlineStr">
        <is>
          <t>결정적</t>
        </is>
      </c>
      <c r="S244" s="10" t="inlineStr">
        <is>
          <t>성인 인증</t>
        </is>
      </c>
    </row>
    <row r="245" ht="30" customHeight="1">
      <c r="B245" s="10">
        <f>ROW()-9</f>
        <v/>
      </c>
      <c r="C245" s="111" t="inlineStr">
        <is>
          <t>대화방</t>
        </is>
      </c>
      <c r="D245" s="112" t="inlineStr">
        <is>
          <t>송수신</t>
        </is>
      </c>
      <c r="E245" s="145" t="inlineStr">
        <is>
          <t>방 없을 때 안내</t>
        </is>
      </c>
      <c r="F245" s="14" t="inlineStr">
        <is>
          <t>계정 A로 로그인하고 대화방이 하나도 없는 상태</t>
        </is>
      </c>
      <c r="G245" s="15" t="n">
        <v>1</v>
      </c>
      <c r="H245" s="14" t="inlineStr">
        <is>
          <t>대화방 주소로 진입한다</t>
        </is>
      </c>
      <c r="I245" s="14" t="inlineStr">
        <is>
          <t>열려 있는 대화방이 없다는 안내 노출된다</t>
        </is>
      </c>
      <c r="J245" s="10" t="inlineStr">
        <is>
          <t>공통</t>
        </is>
      </c>
      <c r="K245" s="10" t="inlineStr">
        <is>
          <t>Low</t>
        </is>
      </c>
      <c r="L245" s="16">
        <f>IF(COUNTIF(M245:M245,"Fail")&gt;0,"Fail",IF(COUNTIF(M245:M245,"Blocked")&gt;0,"Blocked",IF(COUNTIF(M245:M245,"NI")&gt;0,"NI",IF(COUNTIF(M245:M245,"Pass")&gt;0,"Pass",""))))</f>
        <v/>
      </c>
      <c r="M245" s="17" t="n"/>
      <c r="N245" s="18" t="n"/>
      <c r="O245" s="18" t="n"/>
      <c r="P245" s="14" t="inlineStr">
        <is>
          <t>주소로 직접 들어왔으나 열 방이 없는 경우입니다 — 로그인 여부와는 다른 층의 빈 상태입니다</t>
        </is>
      </c>
      <c r="Q245" s="10" t="inlineStr">
        <is>
          <t>TC-CHT-009</t>
        </is>
      </c>
      <c r="R245" s="10" t="inlineStr">
        <is>
          <t>결정적</t>
        </is>
      </c>
      <c r="S245" s="10" t="inlineStr">
        <is>
          <t>성인 인증</t>
        </is>
      </c>
    </row>
    <row r="246" ht="30" customHeight="1">
      <c r="B246" s="10">
        <f>ROW()-9</f>
        <v/>
      </c>
      <c r="C246" s="111" t="inlineStr">
        <is>
          <t>대화방</t>
        </is>
      </c>
      <c r="D246" s="141" t="inlineStr">
        <is>
          <t>페르소나 준수</t>
        </is>
      </c>
      <c r="E246" s="131" t="inlineStr">
        <is>
          <t>응답 내 이름·호칭 반영률</t>
        </is>
      </c>
      <c r="F246" s="14" t="inlineStr">
        <is>
          <t>계정 A로 로그인하고 이름·호칭을 정한 프로필로 대화방에 진입한 상태</t>
        </is>
      </c>
      <c r="G246" s="15" t="n">
        <v>1</v>
      </c>
      <c r="H246" s="14" t="inlineStr">
        <is>
          <t>여러 턴을 전송해 응답을 확인한다</t>
        </is>
      </c>
      <c r="I246" s="14" t="inlineStr">
        <is>
          <t>응답이 프로필의 이름·호칭을 반영한다</t>
        </is>
      </c>
      <c r="J246" s="10" t="inlineStr">
        <is>
          <t>공통</t>
        </is>
      </c>
      <c r="K246" s="10" t="inlineStr">
        <is>
          <t>High</t>
        </is>
      </c>
      <c r="L246" s="16">
        <f>IF(COUNTIF(M246:M246,"Fail")&gt;0,"Fail",IF(COUNTIF(M246:M246,"Blocked")&gt;0,"Blocked",IF(COUNTIF(M246:M246,"NI")&gt;0,"NI",IF(COUNTIF(M246:M246,"Pass")&gt;0,"Pass",""))))</f>
        <v/>
      </c>
      <c r="M246" s="17" t="n"/>
      <c r="N246" s="18" t="n"/>
      <c r="O246" s="18" t="n"/>
      <c r="P246" s="14" t="inlineStr">
        <is>
          <t>반영률 계측이며 합격선 미달 시 실패로 봅니다. 변주 분포를 우리가 작성했으므로 품질 지표로 서술하지 않고 계측으로만 적습니다</t>
        </is>
      </c>
      <c r="Q246" s="10" t="inlineStr">
        <is>
          <t>TC-PRF-010</t>
        </is>
      </c>
      <c r="R246" s="10" t="inlineStr">
        <is>
          <t>확률적</t>
        </is>
      </c>
      <c r="S246" s="10" t="inlineStr">
        <is>
          <t>성인 인증</t>
        </is>
      </c>
    </row>
    <row r="247" ht="30" customHeight="1">
      <c r="B247" s="10">
        <f>ROW()-9</f>
        <v/>
      </c>
      <c r="C247" s="111" t="inlineStr">
        <is>
          <t>대화방</t>
        </is>
      </c>
      <c r="D247" s="141" t="inlineStr">
        <is>
          <t>페르소나 준수</t>
        </is>
      </c>
      <c r="E247" s="131" t="inlineStr">
        <is>
          <t>응답 내 이름·호칭 반영률</t>
        </is>
      </c>
      <c r="F247" s="19" t="n"/>
      <c r="G247" s="19" t="n"/>
      <c r="H247" s="19" t="n"/>
      <c r="I247" s="14" t="inlineStr">
        <is>
          <t>유저 대사를 대신 쓰는 침범이 없다</t>
        </is>
      </c>
      <c r="J247" s="10" t="inlineStr">
        <is>
          <t>공통</t>
        </is>
      </c>
      <c r="K247" s="10" t="inlineStr">
        <is>
          <t>High</t>
        </is>
      </c>
      <c r="L247" s="16">
        <f>IF(COUNTIF(M247:M247,"Fail")&gt;0,"Fail",IF(COUNTIF(M247:M247,"Blocked")&gt;0,"Blocked",IF(COUNTIF(M247:M247,"NI")&gt;0,"NI",IF(COUNTIF(M247:M247,"Pass")&gt;0,"Pass",""))))</f>
        <v/>
      </c>
      <c r="M247" s="17" t="n"/>
      <c r="N247" s="18" t="n"/>
      <c r="O247" s="18" t="n"/>
      <c r="P247" s="19" t="n"/>
      <c r="Q247" s="10" t="inlineStr">
        <is>
          <t>TC-PRF-010</t>
        </is>
      </c>
      <c r="R247" s="10" t="inlineStr">
        <is>
          <t>확률적</t>
        </is>
      </c>
      <c r="S247" s="10" t="inlineStr">
        <is>
          <t>성인 인증</t>
        </is>
      </c>
    </row>
    <row r="248" ht="30" customHeight="1">
      <c r="B248" s="10">
        <f>ROW()-9</f>
        <v/>
      </c>
      <c r="C248" s="146" t="inlineStr">
        <is>
          <t>채팅 탭</t>
        </is>
      </c>
      <c r="D248" s="147" t="inlineStr">
        <is>
          <t>방 목록</t>
        </is>
      </c>
      <c r="E248" s="148" t="inlineStr">
        <is>
          <t>방 목록과 요약</t>
        </is>
      </c>
      <c r="F248" s="14" t="inlineStr">
        <is>
          <t>계정 A로 로그인하고 대화방이 둘 이상 있는 상태</t>
        </is>
      </c>
      <c r="G248" s="15" t="n">
        <v>1</v>
      </c>
      <c r="H248" s="14" t="inlineStr">
        <is>
          <t>채팅 탭을 연다</t>
        </is>
      </c>
      <c r="I248" s="14" t="inlineStr">
        <is>
          <t>방 목록이 노출된다</t>
        </is>
      </c>
      <c r="J248" s="10" t="inlineStr">
        <is>
          <t>공통</t>
        </is>
      </c>
      <c r="K248" s="10" t="inlineStr">
        <is>
          <t>Medium</t>
        </is>
      </c>
      <c r="L248" s="16">
        <f>IF(COUNTIF(M248:M248,"Fail")&gt;0,"Fail",IF(COUNTIF(M248:M248,"Blocked")&gt;0,"Blocked",IF(COUNTIF(M248:M248,"NI")&gt;0,"NI",IF(COUNTIF(M248:M248,"Pass")&gt;0,"Pass",""))))</f>
        <v/>
      </c>
      <c r="M248" s="17" t="n"/>
      <c r="N248" s="18" t="n"/>
      <c r="O248" s="18" t="n"/>
      <c r="P248" s="14" t="inlineStr">
        <is>
          <t>캐릭터 페이지의 대화방 목록과 다른 화면입니다 — 여기는 캐릭터를 가리지 않고 전부 모읍니다</t>
        </is>
      </c>
      <c r="Q248" s="10" t="inlineStr">
        <is>
          <t>TC-CHT-010</t>
        </is>
      </c>
      <c r="R248" s="10" t="inlineStr">
        <is>
          <t>결정적</t>
        </is>
      </c>
      <c r="S248" s="10" t="inlineStr">
        <is>
          <t>성인 인증</t>
        </is>
      </c>
    </row>
    <row r="249" ht="30" customHeight="1">
      <c r="B249" s="10">
        <f>ROW()-9</f>
        <v/>
      </c>
      <c r="C249" s="146" t="inlineStr">
        <is>
          <t>채팅 탭</t>
        </is>
      </c>
      <c r="D249" s="147" t="inlineStr">
        <is>
          <t>방 목록</t>
        </is>
      </c>
      <c r="E249" s="148" t="inlineStr">
        <is>
          <t>방 목록과 요약</t>
        </is>
      </c>
      <c r="F249" s="50" t="n"/>
      <c r="G249" s="50" t="n"/>
      <c r="H249" s="50" t="n"/>
      <c r="I249" s="14" t="inlineStr">
        <is>
          <t>방 수와 대화수 합계가 노출된다</t>
        </is>
      </c>
      <c r="J249" s="10" t="inlineStr">
        <is>
          <t>공통</t>
        </is>
      </c>
      <c r="K249" s="10" t="inlineStr">
        <is>
          <t>Medium</t>
        </is>
      </c>
      <c r="L249" s="16">
        <f>IF(COUNTIF(M249:M249,"Fail")&gt;0,"Fail",IF(COUNTIF(M249:M249,"Blocked")&gt;0,"Blocked",IF(COUNTIF(M249:M249,"NI")&gt;0,"NI",IF(COUNTIF(M249:M249,"Pass")&gt;0,"Pass",""))))</f>
        <v/>
      </c>
      <c r="M249" s="17" t="n"/>
      <c r="N249" s="18" t="n"/>
      <c r="O249" s="18" t="n"/>
      <c r="P249" s="50" t="n"/>
      <c r="Q249" s="10" t="inlineStr">
        <is>
          <t>TC-CHT-010</t>
        </is>
      </c>
      <c r="R249" s="10" t="inlineStr">
        <is>
          <t>결정적</t>
        </is>
      </c>
      <c r="S249" s="10" t="inlineStr">
        <is>
          <t>성인 인증</t>
        </is>
      </c>
    </row>
    <row r="250" ht="30" customHeight="1">
      <c r="B250" s="10">
        <f>ROW()-9</f>
        <v/>
      </c>
      <c r="C250" s="146" t="inlineStr">
        <is>
          <t>채팅 탭</t>
        </is>
      </c>
      <c r="D250" s="147" t="inlineStr">
        <is>
          <t>방 목록</t>
        </is>
      </c>
      <c r="E250" s="148" t="inlineStr">
        <is>
          <t>방 목록과 요약</t>
        </is>
      </c>
      <c r="F250" s="19" t="n"/>
      <c r="G250" s="19" t="n"/>
      <c r="H250" s="19" t="n"/>
      <c r="I250" s="14" t="inlineStr">
        <is>
          <t>방마다 프로필·단계·턴이 노출된다</t>
        </is>
      </c>
      <c r="J250" s="10" t="inlineStr">
        <is>
          <t>공통</t>
        </is>
      </c>
      <c r="K250" s="10" t="inlineStr">
        <is>
          <t>Medium</t>
        </is>
      </c>
      <c r="L250" s="16">
        <f>IF(COUNTIF(M250:M250,"Fail")&gt;0,"Fail",IF(COUNTIF(M250:M250,"Blocked")&gt;0,"Blocked",IF(COUNTIF(M250:M250,"NI")&gt;0,"NI",IF(COUNTIF(M250:M250,"Pass")&gt;0,"Pass",""))))</f>
        <v/>
      </c>
      <c r="M250" s="17" t="n"/>
      <c r="N250" s="18" t="n"/>
      <c r="O250" s="18" t="n"/>
      <c r="P250" s="19" t="n"/>
      <c r="Q250" s="10" t="inlineStr">
        <is>
          <t>TC-CHT-010</t>
        </is>
      </c>
      <c r="R250" s="10" t="inlineStr">
        <is>
          <t>결정적</t>
        </is>
      </c>
      <c r="S250" s="10" t="inlineStr">
        <is>
          <t>성인 인증</t>
        </is>
      </c>
    </row>
    <row r="251" ht="30" customHeight="1">
      <c r="B251" s="10">
        <f>ROW()-9</f>
        <v/>
      </c>
      <c r="C251" s="146" t="inlineStr">
        <is>
          <t>채팅 탭</t>
        </is>
      </c>
      <c r="D251" s="147" t="inlineStr">
        <is>
          <t>방 목록</t>
        </is>
      </c>
      <c r="E251" s="149" t="inlineStr">
        <is>
          <t>방 선택 재진입</t>
        </is>
      </c>
      <c r="F251" s="14" t="inlineStr">
        <is>
          <t>계정 A로 로그인해 채팅 탭을 연 상태</t>
        </is>
      </c>
      <c r="G251" s="15" t="n">
        <v>1</v>
      </c>
      <c r="H251" s="14" t="inlineStr">
        <is>
          <t>방 항목을 선택한다</t>
        </is>
      </c>
      <c r="I251" s="14" t="inlineStr">
        <is>
          <t>그 방으로 재진입된다</t>
        </is>
      </c>
      <c r="J251" s="10" t="inlineStr">
        <is>
          <t>공통</t>
        </is>
      </c>
      <c r="K251" s="10" t="inlineStr">
        <is>
          <t>High</t>
        </is>
      </c>
      <c r="L251" s="16">
        <f>IF(COUNTIF(M251:M251,"Fail")&gt;0,"Fail",IF(COUNTIF(M251:M251,"Blocked")&gt;0,"Blocked",IF(COUNTIF(M251:M251,"NI")&gt;0,"NI",IF(COUNTIF(M251:M251,"Pass")&gt;0,"Pass",""))))</f>
        <v/>
      </c>
      <c r="M251" s="17" t="n"/>
      <c r="N251" s="18" t="n"/>
      <c r="O251" s="18" t="n"/>
      <c r="P251" s="14" t="inlineStr">
        <is>
          <t>대화방에 오는 길 넷 중 하나입니다 — 각 경로의 진입 검증은 출발 화면에 남습니다</t>
        </is>
      </c>
      <c r="Q251" s="10" t="inlineStr">
        <is>
          <t>TC-CHT-011</t>
        </is>
      </c>
      <c r="R251" s="10" t="inlineStr">
        <is>
          <t>결정적</t>
        </is>
      </c>
      <c r="S251" s="10" t="inlineStr">
        <is>
          <t>성인 인증</t>
        </is>
      </c>
    </row>
    <row r="252" ht="30" customHeight="1">
      <c r="B252" s="10">
        <f>ROW()-9</f>
        <v/>
      </c>
      <c r="C252" s="146" t="inlineStr">
        <is>
          <t>채팅 탭</t>
        </is>
      </c>
      <c r="D252" s="147" t="inlineStr">
        <is>
          <t>방 목록</t>
        </is>
      </c>
      <c r="E252" s="150" t="inlineStr">
        <is>
          <t>방 삭제</t>
        </is>
      </c>
      <c r="F252" s="14" t="inlineStr">
        <is>
          <t>계정 A로 로그인해 채팅 탭을 연 상태</t>
        </is>
      </c>
      <c r="G252" s="15" t="n">
        <v>1</v>
      </c>
      <c r="H252" s="14" t="inlineStr">
        <is>
          <t>방 삭제를 선택한다</t>
        </is>
      </c>
      <c r="I252" s="14" t="inlineStr">
        <is>
          <t>확인 모달 노출된다</t>
        </is>
      </c>
      <c r="J252" s="10" t="inlineStr">
        <is>
          <t>공통</t>
        </is>
      </c>
      <c r="K252" s="10" t="inlineStr">
        <is>
          <t>Medium</t>
        </is>
      </c>
      <c r="L252" s="16">
        <f>IF(COUNTIF(M252:M252,"Fail")&gt;0,"Fail",IF(COUNTIF(M252:M252,"Blocked")&gt;0,"Blocked",IF(COUNTIF(M252:M252,"NI")&gt;0,"NI",IF(COUNTIF(M252:M252,"Pass")&gt;0,"Pass",""))))</f>
        <v/>
      </c>
      <c r="M252" s="17" t="n"/>
      <c r="N252" s="18" t="n"/>
      <c r="O252" s="18" t="n"/>
      <c r="P252" s="14" t="inlineStr">
        <is>
          <t>되돌릴 수 없는 동작이라 한 번 묻습니다. 한도까지 찼을 때 슬롯을 비우는 수단이기도 합니다</t>
        </is>
      </c>
      <c r="Q252" s="10" t="inlineStr">
        <is>
          <t>TC-CHT-012</t>
        </is>
      </c>
      <c r="R252" s="10" t="inlineStr">
        <is>
          <t>결정적</t>
        </is>
      </c>
      <c r="S252" s="10" t="inlineStr">
        <is>
          <t>성인 인증</t>
        </is>
      </c>
    </row>
    <row r="253" ht="30" customHeight="1">
      <c r="B253" s="10">
        <f>ROW()-9</f>
        <v/>
      </c>
      <c r="C253" s="146" t="inlineStr">
        <is>
          <t>채팅 탭</t>
        </is>
      </c>
      <c r="D253" s="147" t="inlineStr">
        <is>
          <t>방 목록</t>
        </is>
      </c>
      <c r="E253" s="150" t="inlineStr">
        <is>
          <t>방 삭제</t>
        </is>
      </c>
      <c r="F253" s="14" t="inlineStr"/>
      <c r="G253" s="15" t="n">
        <v>2</v>
      </c>
      <c r="H253" s="14" t="inlineStr">
        <is>
          <t>확인 모달에서 진행한다</t>
        </is>
      </c>
      <c r="I253" s="14" t="inlineStr">
        <is>
          <t>방이 목록에서 빠진다</t>
        </is>
      </c>
      <c r="J253" s="10" t="inlineStr">
        <is>
          <t>공통</t>
        </is>
      </c>
      <c r="K253" s="10" t="inlineStr">
        <is>
          <t>Medium</t>
        </is>
      </c>
      <c r="L253" s="16">
        <f>IF(COUNTIF(M253:M253,"Fail")&gt;0,"Fail",IF(COUNTIF(M253:M253,"Blocked")&gt;0,"Blocked",IF(COUNTIF(M253:M253,"NI")&gt;0,"NI",IF(COUNTIF(M253:M253,"Pass")&gt;0,"Pass",""))))</f>
        <v/>
      </c>
      <c r="M253" s="17" t="n"/>
      <c r="N253" s="18" t="n"/>
      <c r="O253" s="18" t="n"/>
      <c r="P253" s="14" t="n"/>
      <c r="Q253" s="10" t="inlineStr">
        <is>
          <t>TC-CHT-012</t>
        </is>
      </c>
      <c r="R253" s="10" t="inlineStr">
        <is>
          <t>결정적</t>
        </is>
      </c>
      <c r="S253" s="10" t="inlineStr">
        <is>
          <t>성인 인증</t>
        </is>
      </c>
    </row>
    <row r="254" ht="30" customHeight="1">
      <c r="B254" s="10">
        <f>ROW()-9</f>
        <v/>
      </c>
      <c r="C254" s="146" t="inlineStr">
        <is>
          <t>채팅 탭</t>
        </is>
      </c>
      <c r="D254" s="147" t="inlineStr">
        <is>
          <t>방 목록</t>
        </is>
      </c>
      <c r="E254" s="150" t="inlineStr">
        <is>
          <t>방 삭제</t>
        </is>
      </c>
      <c r="F254" s="14" t="n"/>
      <c r="G254" s="19" t="n"/>
      <c r="H254" s="19" t="n"/>
      <c r="I254" s="14" t="inlineStr">
        <is>
          <t>방 수와 대화수 합계가 함께 줄어든다</t>
        </is>
      </c>
      <c r="J254" s="10" t="inlineStr">
        <is>
          <t>공통</t>
        </is>
      </c>
      <c r="K254" s="10" t="inlineStr">
        <is>
          <t>Medium</t>
        </is>
      </c>
      <c r="L254" s="16">
        <f>IF(COUNTIF(M254:M254,"Fail")&gt;0,"Fail",IF(COUNTIF(M254:M254,"Blocked")&gt;0,"Blocked",IF(COUNTIF(M254:M254,"NI")&gt;0,"NI",IF(COUNTIF(M254:M254,"Pass")&gt;0,"Pass",""))))</f>
        <v/>
      </c>
      <c r="M254" s="17" t="n"/>
      <c r="N254" s="18" t="n"/>
      <c r="O254" s="18" t="n"/>
      <c r="P254" s="19" t="n"/>
      <c r="Q254" s="10" t="inlineStr">
        <is>
          <t>TC-CHT-012</t>
        </is>
      </c>
      <c r="R254" s="10" t="inlineStr">
        <is>
          <t>결정적</t>
        </is>
      </c>
      <c r="S254" s="10" t="inlineStr">
        <is>
          <t>성인 인증</t>
        </is>
      </c>
    </row>
    <row r="255" ht="30" customHeight="1">
      <c r="B255" s="10">
        <f>ROW()-9</f>
        <v/>
      </c>
      <c r="C255" s="146" t="inlineStr">
        <is>
          <t>채팅 탭</t>
        </is>
      </c>
      <c r="D255" s="147" t="inlineStr">
        <is>
          <t>방 목록</t>
        </is>
      </c>
      <c r="E255" s="110" t="inlineStr">
        <is>
          <t>빈 상태 안내</t>
        </is>
      </c>
      <c r="F255" s="14" t="inlineStr">
        <is>
          <t>계정 A로 로그인하고 대화방이 하나도 없는 상태</t>
        </is>
      </c>
      <c r="G255" s="15" t="n">
        <v>1</v>
      </c>
      <c r="H255" s="14" t="inlineStr">
        <is>
          <t>채팅 탭을 연다</t>
        </is>
      </c>
      <c r="I255" s="14" t="inlineStr">
        <is>
          <t>빈 상태 안내 노출된다</t>
        </is>
      </c>
      <c r="J255" s="10" t="inlineStr">
        <is>
          <t>공통</t>
        </is>
      </c>
      <c r="K255" s="10" t="inlineStr">
        <is>
          <t>Low</t>
        </is>
      </c>
      <c r="L255" s="16">
        <f>IF(COUNTIF(M255:M255,"Fail")&gt;0,"Fail",IF(COUNTIF(M255:M255,"Blocked")&gt;0,"Blocked",IF(COUNTIF(M255:M255,"NI")&gt;0,"NI",IF(COUNTIF(M255:M255,"Pass")&gt;0,"Pass",""))))</f>
        <v/>
      </c>
      <c r="M255" s="17" t="n"/>
      <c r="N255" s="18" t="n"/>
      <c r="O255" s="18" t="n"/>
      <c r="P255" s="14" t="inlineStr">
        <is>
          <t>첫 사용 화면이라 목록만 비면 로딩 중인지 방이 없는지 구분되지 않습니다</t>
        </is>
      </c>
      <c r="Q255" s="10" t="inlineStr">
        <is>
          <t>TC-CHT-013</t>
        </is>
      </c>
      <c r="R255" s="10" t="inlineStr">
        <is>
          <t>결정적</t>
        </is>
      </c>
      <c r="S255" s="10" t="inlineStr">
        <is>
          <t>성인 인증</t>
        </is>
      </c>
    </row>
    <row r="256" ht="30" customHeight="1">
      <c r="B256" s="10">
        <f>ROW()-9</f>
        <v/>
      </c>
      <c r="C256" s="151" t="inlineStr">
        <is>
          <t>MY 탭</t>
        </is>
      </c>
      <c r="D256" s="152" t="inlineStr">
        <is>
          <t>프로필 요약</t>
        </is>
      </c>
      <c r="E256" s="143" t="inlineStr">
        <is>
          <t>대화수 합계 정합</t>
        </is>
      </c>
      <c r="F256" s="14" t="inlineStr">
        <is>
          <t>계정 A로 로그인하고 대화방이 둘 이상 있는 상태</t>
        </is>
      </c>
      <c r="G256" s="15" t="n">
        <v>1</v>
      </c>
      <c r="H256" s="14" t="inlineStr">
        <is>
          <t>MY 탭을 연다</t>
        </is>
      </c>
      <c r="I256" s="14" t="inlineStr">
        <is>
          <t>대화수 합계가 방별 대화수의 합과 일치한다</t>
        </is>
      </c>
      <c r="J256" s="10" t="inlineStr">
        <is>
          <t>공통</t>
        </is>
      </c>
      <c r="K256" s="10" t="inlineStr">
        <is>
          <t>Medium</t>
        </is>
      </c>
      <c r="L256" s="16">
        <f>IF(COUNTIF(M256:M256,"Fail")&gt;0,"Fail",IF(COUNTIF(M256:M256,"Blocked")&gt;0,"Blocked",IF(COUNTIF(M256:M256,"NI")&gt;0,"NI",IF(COUNTIF(M256:M256,"Pass")&gt;0,"Pass",""))))</f>
        <v/>
      </c>
      <c r="M256" s="17" t="n"/>
      <c r="N256" s="18" t="n"/>
      <c r="O256" s="18" t="n"/>
      <c r="P256" s="14" t="inlineStr">
        <is>
          <t>합계가 어긋나면 방 쪽인지 합계 쪽인지 갈라야 하므로 방별 대화수와 함께 읽습니다</t>
        </is>
      </c>
      <c r="Q256" s="10" t="inlineStr">
        <is>
          <t>TC-DSC-047</t>
        </is>
      </c>
      <c r="R256" s="10" t="inlineStr">
        <is>
          <t>결정적</t>
        </is>
      </c>
      <c r="S256" s="10" t="inlineStr">
        <is>
          <t>성인 인증</t>
        </is>
      </c>
    </row>
    <row r="257" ht="30" customHeight="1">
      <c r="B257" s="10">
        <f>ROW()-9</f>
        <v/>
      </c>
      <c r="C257" s="151" t="inlineStr">
        <is>
          <t>MY 탭</t>
        </is>
      </c>
      <c r="D257" s="152" t="inlineStr">
        <is>
          <t>프로필 요약</t>
        </is>
      </c>
      <c r="E257" s="143" t="inlineStr">
        <is>
          <t>대화수 합계 정합</t>
        </is>
      </c>
      <c r="F257" s="19" t="n"/>
      <c r="G257" s="19" t="n"/>
      <c r="H257" s="19" t="n"/>
      <c r="I257" s="14" t="inlineStr">
        <is>
          <t>방 수가 함께 노출된다</t>
        </is>
      </c>
      <c r="J257" s="10" t="inlineStr">
        <is>
          <t>공통</t>
        </is>
      </c>
      <c r="K257" s="10" t="inlineStr">
        <is>
          <t>Medium</t>
        </is>
      </c>
      <c r="L257" s="16">
        <f>IF(COUNTIF(M257:M257,"Fail")&gt;0,"Fail",IF(COUNTIF(M257:M257,"Blocked")&gt;0,"Blocked",IF(COUNTIF(M257:M257,"NI")&gt;0,"NI",IF(COUNTIF(M257:M257,"Pass")&gt;0,"Pass",""))))</f>
        <v/>
      </c>
      <c r="M257" s="17" t="n"/>
      <c r="N257" s="18" t="n"/>
      <c r="O257" s="18" t="n"/>
      <c r="P257" s="19" t="n"/>
      <c r="Q257" s="10" t="inlineStr">
        <is>
          <t>TC-DSC-047</t>
        </is>
      </c>
      <c r="R257" s="10" t="inlineStr">
        <is>
          <t>결정적</t>
        </is>
      </c>
      <c r="S257" s="10" t="inlineStr">
        <is>
          <t>성인 인증</t>
        </is>
      </c>
    </row>
    <row r="258" ht="30" customHeight="1">
      <c r="B258" s="10">
        <f>ROW()-9</f>
        <v/>
      </c>
      <c r="C258" s="151" t="inlineStr">
        <is>
          <t>MY 탭</t>
        </is>
      </c>
      <c r="D258" s="152" t="inlineStr">
        <is>
          <t>프로필 요약</t>
        </is>
      </c>
      <c r="E258" s="153" t="inlineStr">
        <is>
          <t>팔로워·팔로잉 표시만</t>
        </is>
      </c>
      <c r="F258" s="14" t="inlineStr">
        <is>
          <t>계정 A로 로그인해 MY 탭을 연 상태</t>
        </is>
      </c>
      <c r="G258" s="15" t="n">
        <v>1</v>
      </c>
      <c r="H258" s="14" t="inlineStr">
        <is>
          <t>팔로워·팔로잉 영역을 확인한다</t>
        </is>
      </c>
      <c r="I258" s="14" t="inlineStr">
        <is>
          <t>시트 값이 그대로 노출된다</t>
        </is>
      </c>
      <c r="J258" s="10" t="inlineStr">
        <is>
          <t>공통</t>
        </is>
      </c>
      <c r="K258" s="10" t="inlineStr">
        <is>
          <t>Low</t>
        </is>
      </c>
      <c r="L258" s="16">
        <f>IF(COUNTIF(M258:M258,"Fail")&gt;0,"Fail",IF(COUNTIF(M258:M258,"Blocked")&gt;0,"Blocked",IF(COUNTIF(M258:M258,"NI")&gt;0,"NI",IF(COUNTIF(M258:M258,"Pass")&gt;0,"Pass",""))))</f>
        <v/>
      </c>
      <c r="M258" s="17" t="n"/>
      <c r="N258" s="18" t="n"/>
      <c r="O258" s="18" t="n"/>
      <c r="P258" s="14" t="inlineStr">
        <is>
          <t>소셜은 제외 영역이라 로직 없이 표시만 합니다. 값은 디버그 콘솔의 계정 속성에서 옮깁니다</t>
        </is>
      </c>
      <c r="Q258" s="10" t="inlineStr">
        <is>
          <t>TC-DSC-048</t>
        </is>
      </c>
      <c r="R258" s="10" t="inlineStr">
        <is>
          <t>결정적</t>
        </is>
      </c>
      <c r="S258" s="10" t="inlineStr">
        <is>
          <t>성인 인증</t>
        </is>
      </c>
    </row>
    <row r="259" ht="30" customHeight="1">
      <c r="B259" s="10">
        <f>ROW()-9</f>
        <v/>
      </c>
      <c r="C259" s="151" t="inlineStr">
        <is>
          <t>MY 탭</t>
        </is>
      </c>
      <c r="D259" s="152" t="inlineStr">
        <is>
          <t>프로필 요약</t>
        </is>
      </c>
      <c r="E259" s="153" t="inlineStr">
        <is>
          <t>팔로워·팔로잉 표시만</t>
        </is>
      </c>
      <c r="F259" s="19" t="n"/>
      <c r="G259" s="19" t="n"/>
      <c r="H259" s="19" t="n"/>
      <c r="I259" s="14" t="inlineStr">
        <is>
          <t>팔로우 동작이 제공되지 않는다</t>
        </is>
      </c>
      <c r="J259" s="10" t="inlineStr">
        <is>
          <t>공통</t>
        </is>
      </c>
      <c r="K259" s="10" t="inlineStr">
        <is>
          <t>Low</t>
        </is>
      </c>
      <c r="L259" s="16">
        <f>IF(COUNTIF(M259:M259,"Fail")&gt;0,"Fail",IF(COUNTIF(M259:M259,"Blocked")&gt;0,"Blocked",IF(COUNTIF(M259:M259,"NI")&gt;0,"NI",IF(COUNTIF(M259:M259,"Pass")&gt;0,"Pass",""))))</f>
        <v/>
      </c>
      <c r="M259" s="17" t="n"/>
      <c r="N259" s="18" t="n"/>
      <c r="O259" s="18" t="n"/>
      <c r="P259" s="19" t="n"/>
      <c r="Q259" s="10" t="inlineStr">
        <is>
          <t>TC-DSC-048</t>
        </is>
      </c>
      <c r="R259" s="10" t="inlineStr">
        <is>
          <t>결정적</t>
        </is>
      </c>
      <c r="S259" s="10" t="inlineStr">
        <is>
          <t>성인 인증</t>
        </is>
      </c>
    </row>
    <row r="260" ht="30" customHeight="1">
      <c r="B260" s="10">
        <f>ROW()-9</f>
        <v/>
      </c>
      <c r="C260" s="151" t="inlineStr">
        <is>
          <t>MY 탭</t>
        </is>
      </c>
      <c r="D260" s="154" t="inlineStr">
        <is>
          <t>활동 목록</t>
        </is>
      </c>
      <c r="E260" s="155" t="inlineStr">
        <is>
          <t>좋아요·스크랩 정합</t>
        </is>
      </c>
      <c r="F260" s="14" t="inlineStr">
        <is>
          <t>계정 A로 로그인하고 좋아요와 스크랩을 한 작품이 있는 상태</t>
        </is>
      </c>
      <c r="G260" s="15" t="n">
        <v>1</v>
      </c>
      <c r="H260" s="14" t="inlineStr">
        <is>
          <t>MY 탭의 활동 목록을 확인한다</t>
        </is>
      </c>
      <c r="I260" s="14" t="inlineStr">
        <is>
          <t>좋아요·스크랩한 작품이 목록에 노출된다</t>
        </is>
      </c>
      <c r="J260" s="10" t="inlineStr">
        <is>
          <t>공통</t>
        </is>
      </c>
      <c r="K260" s="10" t="inlineStr">
        <is>
          <t>Medium</t>
        </is>
      </c>
      <c r="L260" s="16">
        <f>IF(COUNTIF(M260:M260,"Fail")&gt;0,"Fail",IF(COUNTIF(M260:M260,"Blocked")&gt;0,"Blocked",IF(COUNTIF(M260:M260,"NI")&gt;0,"NI",IF(COUNTIF(M260:M260,"Pass")&gt;0,"Pass",""))))</f>
        <v/>
      </c>
      <c r="M260" s="17" t="n"/>
      <c r="N260" s="18" t="n"/>
      <c r="O260" s="18" t="n"/>
      <c r="P260" s="14" t="inlineStr">
        <is>
          <t>캐릭터 페이지의 토글과 짝입니다 — 토글이 여기 반영되는지가 검증 대상입니다</t>
        </is>
      </c>
      <c r="Q260" s="10" t="inlineStr">
        <is>
          <t>TC-DSC-049</t>
        </is>
      </c>
      <c r="R260" s="10" t="inlineStr">
        <is>
          <t>결정적</t>
        </is>
      </c>
      <c r="S260" s="10" t="inlineStr">
        <is>
          <t>성인 인증</t>
        </is>
      </c>
    </row>
    <row r="261" ht="30" customHeight="1">
      <c r="B261" s="10">
        <f>ROW()-9</f>
        <v/>
      </c>
      <c r="C261" s="151" t="inlineStr">
        <is>
          <t>MY 탭</t>
        </is>
      </c>
      <c r="D261" s="154" t="inlineStr">
        <is>
          <t>활동 목록</t>
        </is>
      </c>
      <c r="E261" s="155" t="inlineStr">
        <is>
          <t>좋아요·스크랩 정합</t>
        </is>
      </c>
      <c r="F261" s="14" t="inlineStr"/>
      <c r="G261" s="15" t="n">
        <v>2</v>
      </c>
      <c r="H261" s="14" t="inlineStr">
        <is>
          <t>항목을 선택한다</t>
        </is>
      </c>
      <c r="I261" s="14" t="inlineStr">
        <is>
          <t>그 캐릭터 페이지로 이동된다</t>
        </is>
      </c>
      <c r="J261" s="10" t="inlineStr">
        <is>
          <t>공통</t>
        </is>
      </c>
      <c r="K261" s="10" t="inlineStr">
        <is>
          <t>Medium</t>
        </is>
      </c>
      <c r="L261" s="16">
        <f>IF(COUNTIF(M261:M261,"Fail")&gt;0,"Fail",IF(COUNTIF(M261:M261,"Blocked")&gt;0,"Blocked",IF(COUNTIF(M261:M261,"NI")&gt;0,"NI",IF(COUNTIF(M261:M261,"Pass")&gt;0,"Pass",""))))</f>
        <v/>
      </c>
      <c r="M261" s="17" t="n"/>
      <c r="N261" s="18" t="n"/>
      <c r="O261" s="18" t="n"/>
      <c r="P261" s="14" t="n"/>
      <c r="Q261" s="10" t="inlineStr">
        <is>
          <t>TC-DSC-049</t>
        </is>
      </c>
      <c r="R261" s="10" t="inlineStr">
        <is>
          <t>결정적</t>
        </is>
      </c>
      <c r="S261" s="10" t="inlineStr">
        <is>
          <t>성인 인증</t>
        </is>
      </c>
    </row>
    <row r="262" ht="30" customHeight="1">
      <c r="B262" s="10">
        <f>ROW()-9</f>
        <v/>
      </c>
      <c r="C262" s="151" t="inlineStr">
        <is>
          <t>MY 탭</t>
        </is>
      </c>
      <c r="D262" s="154" t="inlineStr">
        <is>
          <t>활동 목록</t>
        </is>
      </c>
      <c r="E262" s="156" t="inlineStr">
        <is>
          <t>활동 빈 상태</t>
        </is>
      </c>
      <c r="F262" s="14" t="inlineStr">
        <is>
          <t>계정 A로 로그인하고 좋아요·스크랩이 없는 상태</t>
        </is>
      </c>
      <c r="G262" s="15" t="n">
        <v>1</v>
      </c>
      <c r="H262" s="14" t="inlineStr">
        <is>
          <t>MY 탭의 활동 목록을 확인한다</t>
        </is>
      </c>
      <c r="I262" s="14" t="inlineStr">
        <is>
          <t>빈 상태 안내 노출된다</t>
        </is>
      </c>
      <c r="J262" s="10" t="inlineStr">
        <is>
          <t>공통</t>
        </is>
      </c>
      <c r="K262" s="10" t="inlineStr">
        <is>
          <t>Low</t>
        </is>
      </c>
      <c r="L262" s="16">
        <f>IF(COUNTIF(M262:M262,"Fail")&gt;0,"Fail",IF(COUNTIF(M262:M262,"Blocked")&gt;0,"Blocked",IF(COUNTIF(M262:M262,"NI")&gt;0,"NI",IF(COUNTIF(M262:M262,"Pass")&gt;0,"Pass",""))))</f>
        <v/>
      </c>
      <c r="M262" s="17" t="n"/>
      <c r="N262" s="18" t="n"/>
      <c r="O262" s="18" t="n"/>
      <c r="P262" s="14" t="inlineStr">
        <is>
          <t>좋아요와 스크랩이 각자 목록을 가지므로 둘 다 빈 상태를 확인합니다</t>
        </is>
      </c>
      <c r="Q262" s="10" t="inlineStr">
        <is>
          <t>TC-DSC-050</t>
        </is>
      </c>
      <c r="R262" s="10" t="inlineStr">
        <is>
          <t>결정적</t>
        </is>
      </c>
      <c r="S262" s="10" t="inlineStr">
        <is>
          <t>성인 인증</t>
        </is>
      </c>
    </row>
    <row r="263" ht="30" customHeight="1">
      <c r="B263" s="10">
        <f>ROW()-9</f>
        <v/>
      </c>
      <c r="C263" s="151" t="inlineStr">
        <is>
          <t>MY 탭</t>
        </is>
      </c>
      <c r="D263" s="21" t="inlineStr">
        <is>
          <t>게이팅 상태</t>
        </is>
      </c>
      <c r="E263" s="157" t="inlineStr">
        <is>
          <t>게이팅 상태 표시</t>
        </is>
      </c>
      <c r="F263" s="14" t="inlineStr">
        <is>
          <t>계정 A로 로그인해 MY 탭을 연 상태</t>
        </is>
      </c>
      <c r="G263" s="15" t="n">
        <v>1</v>
      </c>
      <c r="H263" s="14" t="inlineStr">
        <is>
          <t>게이팅 상태 영역을 확인한다</t>
        </is>
      </c>
      <c r="I263" s="14" t="inlineStr">
        <is>
          <t>현재 게이팅 상태가 노출된다</t>
        </is>
      </c>
      <c r="J263" s="10" t="inlineStr">
        <is>
          <t>공통</t>
        </is>
      </c>
      <c r="K263" s="10" t="inlineStr">
        <is>
          <t>Medium</t>
        </is>
      </c>
      <c r="L263" s="16">
        <f>IF(COUNTIF(M263:M263,"Fail")&gt;0,"Fail",IF(COUNTIF(M263:M263,"Blocked")&gt;0,"Blocked",IF(COUNTIF(M263:M263,"NI")&gt;0,"NI",IF(COUNTIF(M263:M263,"Pass")&gt;0,"Pass",""))))</f>
        <v/>
      </c>
      <c r="M263" s="17" t="n"/>
      <c r="N263" s="18" t="n"/>
      <c r="O263" s="18" t="n"/>
      <c r="P263" s="14" t="inlineStr">
        <is>
          <t>언세이프가 왜 가려졌는지 판단하려면 지금 어느 상태인지 화면에서 읽혀야 합니다</t>
        </is>
      </c>
      <c r="Q263" s="10" t="inlineStr">
        <is>
          <t>TC-GAT-017</t>
        </is>
      </c>
      <c r="R263" s="10" t="inlineStr">
        <is>
          <t>결정적</t>
        </is>
      </c>
      <c r="S263" s="10" t="inlineStr">
        <is>
          <t>성인 인증</t>
        </is>
      </c>
    </row>
    <row r="264" ht="30" customHeight="1">
      <c r="B264" s="10">
        <f>ROW()-9</f>
        <v/>
      </c>
      <c r="C264" s="151" t="inlineStr">
        <is>
          <t>MY 탭</t>
        </is>
      </c>
      <c r="D264" s="69" t="inlineStr">
        <is>
          <t>세이프티 필터</t>
        </is>
      </c>
      <c r="E264" s="158" t="inlineStr">
        <is>
          <t>성인 인증 계정 토글 노출·동작</t>
        </is>
      </c>
      <c r="F264" s="14" t="inlineStr">
        <is>
          <t>계정 A(성인 인증)로 로그인해 MY 탭을 연 상태</t>
        </is>
      </c>
      <c r="G264" s="15" t="n">
        <v>1</v>
      </c>
      <c r="H264" s="14" t="inlineStr">
        <is>
          <t>세이프티 필터를 켠다</t>
        </is>
      </c>
      <c r="I264" s="14" t="inlineStr">
        <is>
          <t>켜짐으로 표시된다</t>
        </is>
      </c>
      <c r="J264" s="10" t="inlineStr">
        <is>
          <t>공통</t>
        </is>
      </c>
      <c r="K264" s="10" t="inlineStr">
        <is>
          <t>Medium</t>
        </is>
      </c>
      <c r="L264" s="16">
        <f>IF(COUNTIF(M264:M264,"Fail")&gt;0,"Fail",IF(COUNTIF(M264:M264,"Blocked")&gt;0,"Blocked",IF(COUNTIF(M264:M264,"NI")&gt;0,"NI",IF(COUNTIF(M264:M264,"Pass")&gt;0,"Pass",""))))</f>
        <v/>
      </c>
      <c r="M264" s="17" t="n"/>
      <c r="N264" s="18" t="n"/>
      <c r="O264" s="18" t="n"/>
      <c r="P264" s="14" t="inlineStr">
        <is>
          <t>필터는 숨기고 게이팅은 가린 채 남기는 것이라 층이 다릅니다. 토글을 누르는 MY 탭 소속이며 확인은 홈에서 합니다</t>
        </is>
      </c>
      <c r="Q264" s="10" t="inlineStr">
        <is>
          <t>TC-GAT-018</t>
        </is>
      </c>
      <c r="R264" s="10" t="inlineStr">
        <is>
          <t>금칙</t>
        </is>
      </c>
      <c r="S264" s="10" t="inlineStr">
        <is>
          <t>성인 인증</t>
        </is>
      </c>
    </row>
    <row r="265" ht="30" customHeight="1">
      <c r="B265" s="10">
        <f>ROW()-9</f>
        <v/>
      </c>
      <c r="C265" s="151" t="inlineStr">
        <is>
          <t>MY 탭</t>
        </is>
      </c>
      <c r="D265" s="69" t="inlineStr">
        <is>
          <t>세이프티 필터</t>
        </is>
      </c>
      <c r="E265" s="158" t="inlineStr">
        <is>
          <t>성인 인증 계정 토글 노출·동작</t>
        </is>
      </c>
      <c r="F265" s="14" t="inlineStr"/>
      <c r="G265" s="15" t="n">
        <v>2</v>
      </c>
      <c r="H265" s="14" t="inlineStr">
        <is>
          <t>홈 탭으로 이동한다</t>
        </is>
      </c>
      <c r="I265" s="14" t="inlineStr">
        <is>
          <t>언세이프 작품이 홈 목록에서 빠진다</t>
        </is>
      </c>
      <c r="J265" s="10" t="inlineStr">
        <is>
          <t>공통</t>
        </is>
      </c>
      <c r="K265" s="10" t="inlineStr">
        <is>
          <t>Medium</t>
        </is>
      </c>
      <c r="L265" s="16">
        <f>IF(COUNTIF(M265:M265,"Fail")&gt;0,"Fail",IF(COUNTIF(M265:M265,"Blocked")&gt;0,"Blocked",IF(COUNTIF(M265:M265,"NI")&gt;0,"NI",IF(COUNTIF(M265:M265,"Pass")&gt;0,"Pass",""))))</f>
        <v/>
      </c>
      <c r="M265" s="17" t="n"/>
      <c r="N265" s="18" t="n"/>
      <c r="O265" s="18" t="n"/>
      <c r="P265" s="14" t="n"/>
      <c r="Q265" s="10" t="inlineStr">
        <is>
          <t>TC-GAT-018</t>
        </is>
      </c>
      <c r="R265" s="10" t="inlineStr">
        <is>
          <t>금칙</t>
        </is>
      </c>
      <c r="S265" s="10" t="inlineStr">
        <is>
          <t>성인 인증</t>
        </is>
      </c>
    </row>
    <row r="266" ht="30" customHeight="1">
      <c r="B266" s="10">
        <f>ROW()-9</f>
        <v/>
      </c>
      <c r="C266" s="151" t="inlineStr">
        <is>
          <t>MY 탭</t>
        </is>
      </c>
      <c r="D266" s="69" t="inlineStr">
        <is>
          <t>세이프티 필터</t>
        </is>
      </c>
      <c r="E266" s="60" t="inlineStr">
        <is>
          <t>본인인증 미진행 토글 비노출</t>
        </is>
      </c>
      <c r="F266" s="14" t="inlineStr">
        <is>
          <t>계정 A로 로그인하고 성인 인증을 끈 상태</t>
        </is>
      </c>
      <c r="G266" s="15" t="n">
        <v>1</v>
      </c>
      <c r="H266" s="14" t="inlineStr">
        <is>
          <t>MY 탭의 세이프티 필터 영역을 확인한다</t>
        </is>
      </c>
      <c r="I266" s="14" t="inlineStr">
        <is>
          <t>토글이 노출되지 않는다</t>
        </is>
      </c>
      <c r="J266" s="10" t="inlineStr">
        <is>
          <t>공통</t>
        </is>
      </c>
      <c r="K266" s="10" t="inlineStr">
        <is>
          <t>Medium</t>
        </is>
      </c>
      <c r="L266" s="16">
        <f>IF(COUNTIF(M266:M266,"Fail")&gt;0,"Fail",IF(COUNTIF(M266:M266,"Blocked")&gt;0,"Blocked",IF(COUNTIF(M266:M266,"NI")&gt;0,"NI",IF(COUNTIF(M266:M266,"Pass")&gt;0,"Pass",""))))</f>
        <v/>
      </c>
      <c r="M266" s="17" t="n"/>
      <c r="N266" s="18" t="n"/>
      <c r="O266" s="18" t="n"/>
      <c r="P266" s="14" t="inlineStr">
        <is>
          <t>성인 인증 계정에만 노출되는 것이 스펙입니다 — 미인증에게 보이면 결함입니다</t>
        </is>
      </c>
      <c r="Q266" s="10" t="inlineStr">
        <is>
          <t>TC-GAT-019</t>
        </is>
      </c>
      <c r="R266" s="10" t="inlineStr">
        <is>
          <t>금칙</t>
        </is>
      </c>
      <c r="S266" s="10" t="inlineStr">
        <is>
          <t>본인인증 미진행</t>
        </is>
      </c>
    </row>
    <row r="267" ht="30" customHeight="1">
      <c r="B267" s="10">
        <f>ROW()-9</f>
        <v/>
      </c>
      <c r="C267" s="151" t="inlineStr">
        <is>
          <t>MY 탭</t>
        </is>
      </c>
      <c r="D267" s="69" t="inlineStr">
        <is>
          <t>세이프티 필터</t>
        </is>
      </c>
      <c r="E267" s="60" t="inlineStr">
        <is>
          <t>본인인증 미진행 토글 비노출</t>
        </is>
      </c>
      <c r="F267" s="19" t="n"/>
      <c r="G267" s="19" t="n"/>
      <c r="H267" s="19" t="n"/>
      <c r="I267" s="14" t="inlineStr">
        <is>
          <t>미노출 안내 노출된다</t>
        </is>
      </c>
      <c r="J267" s="10" t="inlineStr">
        <is>
          <t>공통</t>
        </is>
      </c>
      <c r="K267" s="10" t="inlineStr">
        <is>
          <t>Medium</t>
        </is>
      </c>
      <c r="L267" s="16">
        <f>IF(COUNTIF(M267:M267,"Fail")&gt;0,"Fail",IF(COUNTIF(M267:M267,"Blocked")&gt;0,"Blocked",IF(COUNTIF(M267:M267,"NI")&gt;0,"NI",IF(COUNTIF(M267:M267,"Pass")&gt;0,"Pass",""))))</f>
        <v/>
      </c>
      <c r="M267" s="17" t="n"/>
      <c r="N267" s="18" t="n"/>
      <c r="O267" s="18" t="n"/>
      <c r="P267" s="19" t="n"/>
      <c r="Q267" s="10" t="inlineStr">
        <is>
          <t>TC-GAT-019</t>
        </is>
      </c>
      <c r="R267" s="10" t="inlineStr">
        <is>
          <t>금칙</t>
        </is>
      </c>
      <c r="S267" s="10" t="inlineStr">
        <is>
          <t>본인인증 미진행</t>
        </is>
      </c>
    </row>
    <row r="268" ht="30" customHeight="1">
      <c r="B268" s="10">
        <f>ROW()-9</f>
        <v/>
      </c>
      <c r="C268" s="151" t="inlineStr">
        <is>
          <t>MY 탭</t>
        </is>
      </c>
      <c r="D268" s="69" t="inlineStr">
        <is>
          <t>세이프티 필터</t>
        </is>
      </c>
      <c r="E268" s="159" t="inlineStr">
        <is>
          <t>미성년 토글 비노출</t>
        </is>
      </c>
      <c r="F268" s="14" t="inlineStr">
        <is>
          <t>계정 B(미성년)로 로그인해 MY 탭을 연 상태</t>
        </is>
      </c>
      <c r="G268" s="15" t="n">
        <v>1</v>
      </c>
      <c r="H268" s="14" t="inlineStr">
        <is>
          <t>MY 탭의 세이프티 필터 영역을 확인한다</t>
        </is>
      </c>
      <c r="I268" s="14" t="inlineStr">
        <is>
          <t>토글이 노출되지 않는다</t>
        </is>
      </c>
      <c r="J268" s="10" t="inlineStr">
        <is>
          <t>공통</t>
        </is>
      </c>
      <c r="K268" s="10" t="inlineStr">
        <is>
          <t>Medium</t>
        </is>
      </c>
      <c r="L268" s="16">
        <f>IF(COUNTIF(M268:M268,"Fail")&gt;0,"Fail",IF(COUNTIF(M268:M268,"Blocked")&gt;0,"Blocked",IF(COUNTIF(M268:M268,"NI")&gt;0,"NI",IF(COUNTIF(M268:M268,"Pass")&gt;0,"Pass",""))))</f>
        <v/>
      </c>
      <c r="M268" s="17" t="n"/>
      <c r="N268" s="18" t="n"/>
      <c r="O268" s="18" t="n"/>
      <c r="P268" s="14" t="inlineStr">
        <is>
          <t>미성년은 언세이프가 원천 차단이라 필터를 켤 이유 자체가 없습니다</t>
        </is>
      </c>
      <c r="Q268" s="10" t="inlineStr">
        <is>
          <t>TC-GAT-020</t>
        </is>
      </c>
      <c r="R268" s="10" t="inlineStr">
        <is>
          <t>금칙</t>
        </is>
      </c>
      <c r="S268" s="10" t="inlineStr">
        <is>
          <t>미성년</t>
        </is>
      </c>
    </row>
    <row r="269" ht="30" customHeight="1">
      <c r="B269" s="10">
        <f>ROW()-9</f>
        <v/>
      </c>
      <c r="C269" s="151" t="inlineStr">
        <is>
          <t>MY 탭</t>
        </is>
      </c>
      <c r="D269" s="69" t="inlineStr">
        <is>
          <t>세이프티 필터</t>
        </is>
      </c>
      <c r="E269" s="159" t="inlineStr">
        <is>
          <t>미성년 토글 비노출</t>
        </is>
      </c>
      <c r="F269" s="19" t="n"/>
      <c r="G269" s="19" t="n"/>
      <c r="H269" s="19" t="n"/>
      <c r="I269" s="14" t="inlineStr">
        <is>
          <t>미노출 안내 노출된다</t>
        </is>
      </c>
      <c r="J269" s="10" t="inlineStr">
        <is>
          <t>공통</t>
        </is>
      </c>
      <c r="K269" s="10" t="inlineStr">
        <is>
          <t>Medium</t>
        </is>
      </c>
      <c r="L269" s="16">
        <f>IF(COUNTIF(M269:M269,"Fail")&gt;0,"Fail",IF(COUNTIF(M269:M269,"Blocked")&gt;0,"Blocked",IF(COUNTIF(M269:M269,"NI")&gt;0,"NI",IF(COUNTIF(M269:M269,"Pass")&gt;0,"Pass",""))))</f>
        <v/>
      </c>
      <c r="M269" s="17" t="n"/>
      <c r="N269" s="18" t="n"/>
      <c r="O269" s="18" t="n"/>
      <c r="P269" s="19" t="n"/>
      <c r="Q269" s="10" t="inlineStr">
        <is>
          <t>TC-GAT-020</t>
        </is>
      </c>
      <c r="R269" s="10" t="inlineStr">
        <is>
          <t>금칙</t>
        </is>
      </c>
      <c r="S269" s="10" t="inlineStr">
        <is>
          <t>미성년</t>
        </is>
      </c>
    </row>
    <row r="270" ht="30" customHeight="1">
      <c r="B270" s="10">
        <f>ROW()-9</f>
        <v/>
      </c>
      <c r="C270" s="151" t="inlineStr">
        <is>
          <t>MY 탭</t>
        </is>
      </c>
      <c r="D270" s="160" t="inlineStr">
        <is>
          <t>로그아웃</t>
        </is>
      </c>
      <c r="E270" s="161" t="inlineStr">
        <is>
          <t>로그아웃 수행</t>
        </is>
      </c>
      <c r="F270" s="14" t="inlineStr">
        <is>
          <t>계정 A로 로그인해 MY 탭을 연 상태</t>
        </is>
      </c>
      <c r="G270" s="15" t="n">
        <v>1</v>
      </c>
      <c r="H270" s="14" t="inlineStr">
        <is>
          <t>로그아웃을 선택한다</t>
        </is>
      </c>
      <c r="I270" s="14" t="inlineStr">
        <is>
          <t>미로그인 상태의 홈 화면으로 복귀된다</t>
        </is>
      </c>
      <c r="J270" s="10" t="inlineStr">
        <is>
          <t>공통</t>
        </is>
      </c>
      <c r="K270" s="10" t="inlineStr">
        <is>
          <t>Medium</t>
        </is>
      </c>
      <c r="L270" s="16">
        <f>IF(COUNTIF(M270:M270,"Fail")&gt;0,"Fail",IF(COUNTIF(M270:M270,"Blocked")&gt;0,"Blocked",IF(COUNTIF(M270:M270,"NI")&gt;0,"NI",IF(COUNTIF(M270:M270,"Pass")&gt;0,"Pass",""))))</f>
        <v/>
      </c>
      <c r="M270" s="17" t="n"/>
      <c r="N270" s="18" t="n"/>
      <c r="O270" s="18" t="n"/>
      <c r="P270" s="14" t="inlineStr">
        <is>
          <t>로그인 화면이 아니라 홈으로 갑니다 — 로그인 화면은 URL 직접 진입으로 막혔을 때만 뜹니다</t>
        </is>
      </c>
      <c r="Q270" s="10" t="inlineStr">
        <is>
          <t>TC-ENT-008</t>
        </is>
      </c>
      <c r="R270" s="10" t="inlineStr">
        <is>
          <t>결정적</t>
        </is>
      </c>
      <c r="S270" s="10" t="inlineStr">
        <is>
          <t>성인 인증</t>
        </is>
      </c>
    </row>
    <row r="271" ht="30" customHeight="1">
      <c r="B271" s="10">
        <f>ROW()-9</f>
        <v/>
      </c>
      <c r="C271" s="151" t="inlineStr">
        <is>
          <t>MY 탭</t>
        </is>
      </c>
      <c r="D271" s="160" t="inlineStr">
        <is>
          <t>로그아웃</t>
        </is>
      </c>
      <c r="E271" s="161" t="inlineStr">
        <is>
          <t>로그아웃 수행</t>
        </is>
      </c>
      <c r="F271" s="19" t="n"/>
      <c r="G271" s="19" t="n"/>
      <c r="H271" s="19" t="n"/>
      <c r="I271" s="14" t="inlineStr">
        <is>
          <t>잔액 대신 로그인 버튼이 노출된다</t>
        </is>
      </c>
      <c r="J271" s="10" t="inlineStr">
        <is>
          <t>공통</t>
        </is>
      </c>
      <c r="K271" s="10" t="inlineStr">
        <is>
          <t>Medium</t>
        </is>
      </c>
      <c r="L271" s="16">
        <f>IF(COUNTIF(M271:M271,"Fail")&gt;0,"Fail",IF(COUNTIF(M271:M271,"Blocked")&gt;0,"Blocked",IF(COUNTIF(M271:M271,"NI")&gt;0,"NI",IF(COUNTIF(M271:M271,"Pass")&gt;0,"Pass",""))))</f>
        <v/>
      </c>
      <c r="M271" s="17" t="n"/>
      <c r="N271" s="18" t="n"/>
      <c r="O271" s="18" t="n"/>
      <c r="P271" s="19" t="n"/>
      <c r="Q271" s="10" t="inlineStr">
        <is>
          <t>TC-ENT-008</t>
        </is>
      </c>
      <c r="R271" s="10" t="inlineStr">
        <is>
          <t>결정적</t>
        </is>
      </c>
      <c r="S271" s="10" t="inlineStr">
        <is>
          <t>성인 인증</t>
        </is>
      </c>
    </row>
    <row r="272" ht="30" customHeight="1">
      <c r="B272" s="10">
        <f>ROW()-9</f>
        <v/>
      </c>
      <c r="C272" s="151" t="inlineStr">
        <is>
          <t>MY 탭</t>
        </is>
      </c>
      <c r="D272" s="160" t="inlineStr">
        <is>
          <t>로그아웃</t>
        </is>
      </c>
      <c r="E272" s="74" t="inlineStr">
        <is>
          <t>로그아웃 후 데이터 잔존 차단</t>
        </is>
      </c>
      <c r="F272" s="14" t="inlineStr">
        <is>
          <t>계정 A로 로그인해 대화·세이브·재화를 남긴 상태</t>
        </is>
      </c>
      <c r="G272" s="15" t="n">
        <v>1</v>
      </c>
      <c r="H272" s="14" t="inlineStr">
        <is>
          <t>로그아웃한다</t>
        </is>
      </c>
      <c r="I272" s="14" t="inlineStr">
        <is>
          <t>미로그인 홈으로 복귀된다</t>
        </is>
      </c>
      <c r="J272" s="10" t="inlineStr">
        <is>
          <t>자동화 전용</t>
        </is>
      </c>
      <c r="K272" s="10" t="inlineStr">
        <is>
          <t>High</t>
        </is>
      </c>
      <c r="L272" s="16">
        <f>IF(COUNTIF(M272:M272,"Fail")&gt;0,"Fail",IF(COUNTIF(M272:M272,"Blocked")&gt;0,"Blocked",IF(COUNTIF(M272:M272,"NI")&gt;0,"NI",IF(COUNTIF(M272:M272,"Pass")&gt;0,"Pass",""))))</f>
        <v/>
      </c>
      <c r="M272" s="17" t="n"/>
      <c r="N272" s="18" t="n"/>
      <c r="O272" s="18" t="n"/>
      <c r="P272" s="14" t="inlineStr">
        <is>
          <t>저장소 잔존은 화면만 봐서는 판정할 수 없어 상태 훅으로 확인합니다. 세션 지속(§1-3)이 계정 스코프를 저장하므로, 로그아웃이 그 저장분까지 지우는지가 이 케이스의 핵심입니다</t>
        </is>
      </c>
      <c r="Q272" s="10" t="inlineStr">
        <is>
          <t>TC-ENT-009</t>
        </is>
      </c>
      <c r="R272" s="10" t="inlineStr">
        <is>
          <t>금칙</t>
        </is>
      </c>
      <c r="S272" s="10" t="inlineStr">
        <is>
          <t>성인 인증</t>
        </is>
      </c>
    </row>
    <row r="273" ht="30" customHeight="1">
      <c r="B273" s="10">
        <f>ROW()-9</f>
        <v/>
      </c>
      <c r="C273" s="151" t="inlineStr">
        <is>
          <t>MY 탭</t>
        </is>
      </c>
      <c r="D273" s="160" t="inlineStr">
        <is>
          <t>로그아웃</t>
        </is>
      </c>
      <c r="E273" s="74" t="inlineStr">
        <is>
          <t>로그아웃 후 데이터 잔존 차단</t>
        </is>
      </c>
      <c r="F273" s="14" t="inlineStr"/>
      <c r="G273" s="15" t="n">
        <v>2</v>
      </c>
      <c r="H273" s="14" t="inlineStr">
        <is>
          <t>화면과 저장소를 확인한다</t>
        </is>
      </c>
      <c r="I273" s="14" t="inlineStr">
        <is>
          <t>앞 계정의 대화·세이브·재화가 화면에 남지 않는다</t>
        </is>
      </c>
      <c r="J273" s="10" t="inlineStr">
        <is>
          <t>자동화 전용</t>
        </is>
      </c>
      <c r="K273" s="10" t="inlineStr">
        <is>
          <t>High</t>
        </is>
      </c>
      <c r="L273" s="16">
        <f>IF(COUNTIF(M273:M273,"Fail")&gt;0,"Fail",IF(COUNTIF(M273:M273,"Blocked")&gt;0,"Blocked",IF(COUNTIF(M273:M273,"NI")&gt;0,"NI",IF(COUNTIF(M273:M273,"Pass")&gt;0,"Pass",""))))</f>
        <v/>
      </c>
      <c r="M273" s="17" t="n"/>
      <c r="N273" s="18" t="n"/>
      <c r="O273" s="18" t="n"/>
      <c r="P273" s="14" t="n"/>
      <c r="Q273" s="10" t="inlineStr">
        <is>
          <t>TC-ENT-009</t>
        </is>
      </c>
      <c r="R273" s="10" t="inlineStr">
        <is>
          <t>금칙</t>
        </is>
      </c>
      <c r="S273" s="10" t="inlineStr">
        <is>
          <t>성인 인증</t>
        </is>
      </c>
    </row>
    <row r="274" ht="30" customHeight="1">
      <c r="B274" s="10">
        <f>ROW()-9</f>
        <v/>
      </c>
      <c r="C274" s="151" t="inlineStr">
        <is>
          <t>MY 탭</t>
        </is>
      </c>
      <c r="D274" s="160" t="inlineStr">
        <is>
          <t>로그아웃</t>
        </is>
      </c>
      <c r="E274" s="74" t="inlineStr">
        <is>
          <t>로그아웃 후 데이터 잔존 차단</t>
        </is>
      </c>
      <c r="F274" s="14" t="n"/>
      <c r="G274" s="19" t="n"/>
      <c r="H274" s="19" t="n"/>
      <c r="I274" s="14" t="inlineStr">
        <is>
          <t>저장소에도 남지 않는다</t>
        </is>
      </c>
      <c r="J274" s="10" t="inlineStr">
        <is>
          <t>자동화 전용</t>
        </is>
      </c>
      <c r="K274" s="10" t="inlineStr">
        <is>
          <t>High</t>
        </is>
      </c>
      <c r="L274" s="16">
        <f>IF(COUNTIF(M274:M274,"Fail")&gt;0,"Fail",IF(COUNTIF(M274:M274,"Blocked")&gt;0,"Blocked",IF(COUNTIF(M274:M274,"NI")&gt;0,"NI",IF(COUNTIF(M274:M274,"Pass")&gt;0,"Pass",""))))</f>
        <v/>
      </c>
      <c r="M274" s="17" t="n"/>
      <c r="N274" s="18" t="n"/>
      <c r="O274" s="18" t="n"/>
      <c r="P274" s="19" t="n"/>
      <c r="Q274" s="10" t="inlineStr">
        <is>
          <t>TC-ENT-009</t>
        </is>
      </c>
      <c r="R274" s="10" t="inlineStr">
        <is>
          <t>금칙</t>
        </is>
      </c>
      <c r="S274" s="10" t="inlineStr">
        <is>
          <t>성인 인증</t>
        </is>
      </c>
    </row>
    <row r="275" ht="30" customHeight="1">
      <c r="B275" s="10">
        <f>ROW()-9</f>
        <v/>
      </c>
      <c r="C275" s="151" t="inlineStr">
        <is>
          <t>MY 탭</t>
        </is>
      </c>
      <c r="D275" s="162" t="inlineStr">
        <is>
          <t>계정 전환</t>
        </is>
      </c>
      <c r="E275" s="157" t="inlineStr">
        <is>
          <t>계정 전환 격리 — 성인 계정</t>
        </is>
      </c>
      <c r="F275" s="14" t="inlineStr">
        <is>
          <t>계정 B로 쓰다 로그아웃하고 계정 A로 로그인한 상태</t>
        </is>
      </c>
      <c r="G275" s="15" t="n">
        <v>1</v>
      </c>
      <c r="H275" s="14" t="inlineStr">
        <is>
          <t>대화·세이브·재화를 확인한다</t>
        </is>
      </c>
      <c r="I275" s="14" t="inlineStr">
        <is>
          <t>계정 A의 데이터만 노출된다</t>
        </is>
      </c>
      <c r="J275" s="10" t="inlineStr">
        <is>
          <t>자동화 전용</t>
        </is>
      </c>
      <c r="K275" s="10" t="inlineStr">
        <is>
          <t>High</t>
        </is>
      </c>
      <c r="L275" s="16">
        <f>IF(COUNTIF(M275:M275,"Fail")&gt;0,"Fail",IF(COUNTIF(M275:M275,"Blocked")&gt;0,"Blocked",IF(COUNTIF(M275:M275,"NI")&gt;0,"NI",IF(COUNTIF(M275:M275,"Pass")&gt;0,"Pass",""))))</f>
        <v/>
      </c>
      <c r="M275" s="17" t="n"/>
      <c r="N275" s="18" t="n"/>
      <c r="O275" s="18" t="n"/>
      <c r="P275" s="14" t="inlineStr">
        <is>
          <t>전환은 로그아웃이 첫 동작이라 MY 탭 소속입니다. 두 상태를 함께 밟는 케이스라 상태 열에 둘을 적습니다</t>
        </is>
      </c>
      <c r="Q275" s="10" t="inlineStr">
        <is>
          <t>TC-GAT-021</t>
        </is>
      </c>
      <c r="R275" s="10" t="inlineStr">
        <is>
          <t>금칙</t>
        </is>
      </c>
      <c r="S275" s="10" t="inlineStr">
        <is>
          <t>성인 인증, 미성년</t>
        </is>
      </c>
    </row>
    <row r="276" ht="30" customHeight="1">
      <c r="B276" s="10">
        <f>ROW()-9</f>
        <v/>
      </c>
      <c r="C276" s="151" t="inlineStr">
        <is>
          <t>MY 탭</t>
        </is>
      </c>
      <c r="D276" s="162" t="inlineStr">
        <is>
          <t>계정 전환</t>
        </is>
      </c>
      <c r="E276" s="157" t="inlineStr">
        <is>
          <t>계정 전환 격리 — 성인 계정</t>
        </is>
      </c>
      <c r="F276" s="19" t="n"/>
      <c r="G276" s="19" t="n"/>
      <c r="H276" s="19" t="n"/>
      <c r="I276" s="14" t="inlineStr">
        <is>
          <t>계정 B의 데이터가 섞이지 않는다</t>
        </is>
      </c>
      <c r="J276" s="10" t="inlineStr">
        <is>
          <t>자동화 전용</t>
        </is>
      </c>
      <c r="K276" s="10" t="inlineStr">
        <is>
          <t>High</t>
        </is>
      </c>
      <c r="L276" s="16">
        <f>IF(COUNTIF(M276:M276,"Fail")&gt;0,"Fail",IF(COUNTIF(M276:M276,"Blocked")&gt;0,"Blocked",IF(COUNTIF(M276:M276,"NI")&gt;0,"NI",IF(COUNTIF(M276:M276,"Pass")&gt;0,"Pass",""))))</f>
        <v/>
      </c>
      <c r="M276" s="17" t="n"/>
      <c r="N276" s="18" t="n"/>
      <c r="O276" s="18" t="n"/>
      <c r="P276" s="19" t="n"/>
      <c r="Q276" s="10" t="inlineStr">
        <is>
          <t>TC-GAT-021</t>
        </is>
      </c>
      <c r="R276" s="10" t="inlineStr">
        <is>
          <t>금칙</t>
        </is>
      </c>
      <c r="S276" s="10" t="inlineStr">
        <is>
          <t>성인 인증, 미성년</t>
        </is>
      </c>
    </row>
    <row r="277" ht="30" customHeight="1">
      <c r="B277" s="10">
        <f>ROW()-9</f>
        <v/>
      </c>
      <c r="C277" s="151" t="inlineStr">
        <is>
          <t>MY 탭</t>
        </is>
      </c>
      <c r="D277" s="162" t="inlineStr">
        <is>
          <t>계정 전환</t>
        </is>
      </c>
      <c r="E277" s="153" t="inlineStr">
        <is>
          <t>계정 전환 격리 — 미성년 계정</t>
        </is>
      </c>
      <c r="F277" s="14" t="inlineStr">
        <is>
          <t>계정 A로 쓰다 로그아웃하고 계정 B로 로그인한 상태</t>
        </is>
      </c>
      <c r="G277" s="15" t="n">
        <v>1</v>
      </c>
      <c r="H277" s="14" t="inlineStr">
        <is>
          <t>대화·세이브·재화를 확인한다</t>
        </is>
      </c>
      <c r="I277" s="14" t="inlineStr">
        <is>
          <t>계정 B의 데이터만 노출된다</t>
        </is>
      </c>
      <c r="J277" s="10" t="inlineStr">
        <is>
          <t>자동화 전용</t>
        </is>
      </c>
      <c r="K277" s="10" t="inlineStr">
        <is>
          <t>High</t>
        </is>
      </c>
      <c r="L277" s="16">
        <f>IF(COUNTIF(M277:M277,"Fail")&gt;0,"Fail",IF(COUNTIF(M277:M277,"Blocked")&gt;0,"Blocked",IF(COUNTIF(M277:M277,"NI")&gt;0,"NI",IF(COUNTIF(M277:M277,"Pass")&gt;0,"Pass",""))))</f>
        <v/>
      </c>
      <c r="M277" s="17" t="n"/>
      <c r="N277" s="18" t="n"/>
      <c r="O277" s="18" t="n"/>
      <c r="P277" s="14" t="inlineStr">
        <is>
          <t>반대 방향도 함께 봅니다 — 한 방향만 확인하면 복사가 한쪽으로만 새는 결함을 놓칩니다</t>
        </is>
      </c>
      <c r="Q277" s="10" t="inlineStr">
        <is>
          <t>TC-GAT-022</t>
        </is>
      </c>
      <c r="R277" s="10" t="inlineStr">
        <is>
          <t>금칙</t>
        </is>
      </c>
      <c r="S277" s="10" t="inlineStr">
        <is>
          <t>미성년, 성인 인증</t>
        </is>
      </c>
    </row>
    <row r="278" ht="30" customHeight="1">
      <c r="B278" s="10">
        <f>ROW()-9</f>
        <v/>
      </c>
      <c r="C278" s="151" t="inlineStr">
        <is>
          <t>MY 탭</t>
        </is>
      </c>
      <c r="D278" s="162" t="inlineStr">
        <is>
          <t>계정 전환</t>
        </is>
      </c>
      <c r="E278" s="153" t="inlineStr">
        <is>
          <t>계정 전환 격리 — 미성년 계정</t>
        </is>
      </c>
      <c r="F278" s="19" t="n"/>
      <c r="G278" s="19" t="n"/>
      <c r="H278" s="19" t="n"/>
      <c r="I278" s="14" t="inlineStr">
        <is>
          <t>계정 A의 데이터가 섞이지 않는다</t>
        </is>
      </c>
      <c r="J278" s="10" t="inlineStr">
        <is>
          <t>자동화 전용</t>
        </is>
      </c>
      <c r="K278" s="10" t="inlineStr">
        <is>
          <t>High</t>
        </is>
      </c>
      <c r="L278" s="16">
        <f>IF(COUNTIF(M278:M278,"Fail")&gt;0,"Fail",IF(COUNTIF(M278:M278,"Blocked")&gt;0,"Blocked",IF(COUNTIF(M278:M278,"NI")&gt;0,"NI",IF(COUNTIF(M278:M278,"Pass")&gt;0,"Pass",""))))</f>
        <v/>
      </c>
      <c r="M278" s="17" t="n"/>
      <c r="N278" s="18" t="n"/>
      <c r="O278" s="18" t="n"/>
      <c r="P278" s="19" t="n"/>
      <c r="Q278" s="10" t="inlineStr">
        <is>
          <t>TC-GAT-022</t>
        </is>
      </c>
      <c r="R278" s="10" t="inlineStr">
        <is>
          <t>금칙</t>
        </is>
      </c>
      <c r="S278" s="10" t="inlineStr">
        <is>
          <t>미성년, 성인 인증</t>
        </is>
      </c>
    </row>
    <row r="279" ht="30" customHeight="1">
      <c r="B279" s="10">
        <f>ROW()-9</f>
        <v/>
      </c>
      <c r="C279" s="151" t="inlineStr">
        <is>
          <t>MY 탭</t>
        </is>
      </c>
      <c r="D279" s="39" t="inlineStr">
        <is>
          <t>스텁 진입점</t>
        </is>
      </c>
      <c r="E279" s="163" t="inlineStr">
        <is>
          <t>제외 영역 사유 안내</t>
        </is>
      </c>
      <c r="F279" s="14" t="inlineStr">
        <is>
          <t>계정 A로 로그인해 MY 탭을 연 상태</t>
        </is>
      </c>
      <c r="G279" s="15" t="n">
        <v>1</v>
      </c>
      <c r="H279" s="14" t="inlineStr">
        <is>
          <t>내 서재 진입점을 선택한다</t>
        </is>
      </c>
      <c r="I279" s="14" t="inlineStr">
        <is>
          <t>제외 사유 안내 노출된다</t>
        </is>
      </c>
      <c r="J279" s="10" t="inlineStr">
        <is>
          <t>공통</t>
        </is>
      </c>
      <c r="K279" s="10" t="inlineStr">
        <is>
          <t>Low</t>
        </is>
      </c>
      <c r="L279" s="16">
        <f>IF(COUNTIF(M279:M279,"Fail")&gt;0,"Fail",IF(COUNTIF(M279:M279,"Blocked")&gt;0,"Blocked",IF(COUNTIF(M279:M279,"NI")&gt;0,"NI",IF(COUNTIF(M279:M279,"Pass")&gt;0,"Pass",""))))</f>
        <v/>
      </c>
      <c r="M279" s="17" t="n"/>
      <c r="N279" s="18" t="n"/>
      <c r="O279" s="18" t="n"/>
      <c r="P279" s="14" t="inlineStr">
        <is>
          <t>트리가 제외 사유의 정본임을 화면에서 읽히게 하는 자리입니다</t>
        </is>
      </c>
      <c r="Q279" s="10" t="inlineStr">
        <is>
          <t>TC-DSC-051</t>
        </is>
      </c>
      <c r="R279" s="10" t="inlineStr">
        <is>
          <t>결정적</t>
        </is>
      </c>
      <c r="S279" s="10" t="inlineStr">
        <is>
          <t>성인 인증</t>
        </is>
      </c>
    </row>
    <row r="280" ht="30" customHeight="1">
      <c r="B280" s="10">
        <f>ROW()-9</f>
        <v/>
      </c>
      <c r="C280" s="164" t="inlineStr">
        <is>
          <t>재화</t>
        </is>
      </c>
      <c r="D280" s="20" t="inlineStr">
        <is>
          <t>잔액</t>
        </is>
      </c>
      <c r="E280" s="165" t="inlineStr">
        <is>
          <t>무료·유료 분리 표시</t>
        </is>
      </c>
      <c r="F280" s="14" t="inlineStr">
        <is>
          <t>계정 A로 로그인한 상태</t>
        </is>
      </c>
      <c r="G280" s="15" t="n">
        <v>1</v>
      </c>
      <c r="H280" s="14" t="inlineStr">
        <is>
          <t>재화 패널을 연다</t>
        </is>
      </c>
      <c r="I280" s="14" t="inlineStr">
        <is>
          <t>캔디와 크리스탈이 분리되어 노출된다</t>
        </is>
      </c>
      <c r="J280" s="10" t="inlineStr">
        <is>
          <t>공통</t>
        </is>
      </c>
      <c r="K280" s="10" t="inlineStr">
        <is>
          <t>High</t>
        </is>
      </c>
      <c r="L280" s="16">
        <f>IF(COUNTIF(M280:M280,"Fail")&gt;0,"Fail",IF(COUNTIF(M280:M280,"Blocked")&gt;0,"Blocked",IF(COUNTIF(M280:M280,"NI")&gt;0,"NI",IF(COUNTIF(M280:M280,"Pass")&gt;0,"Pass",""))))</f>
        <v/>
      </c>
      <c r="M280" s="17" t="n"/>
      <c r="N280" s="18" t="n"/>
      <c r="O280" s="18" t="n"/>
      <c r="P280" s="14" t="inlineStr">
        <is>
          <t>재화 패널은 전역이라 상단 바·대화방 헤더 어디서든 열립니다. 시작 잔액은 캔디 150·크리스탈 0입니다</t>
        </is>
      </c>
      <c r="Q280" s="10" t="inlineStr">
        <is>
          <t>TC-CUR-007</t>
        </is>
      </c>
      <c r="R280" s="10" t="inlineStr">
        <is>
          <t>결정적</t>
        </is>
      </c>
      <c r="S280" s="10" t="inlineStr">
        <is>
          <t>성인 인증</t>
        </is>
      </c>
    </row>
    <row r="281" ht="30" customHeight="1">
      <c r="B281" s="10">
        <f>ROW()-9</f>
        <v/>
      </c>
      <c r="C281" s="164" t="inlineStr">
        <is>
          <t>재화</t>
        </is>
      </c>
      <c r="D281" s="20" t="inlineStr">
        <is>
          <t>잔액</t>
        </is>
      </c>
      <c r="E281" s="165" t="inlineStr">
        <is>
          <t>무료·유료 분리 표시</t>
        </is>
      </c>
      <c r="F281" s="19" t="n"/>
      <c r="G281" s="19" t="n"/>
      <c r="H281" s="19" t="n"/>
      <c r="I281" s="14" t="inlineStr">
        <is>
          <t>요율 안내가 노출된다</t>
        </is>
      </c>
      <c r="J281" s="10" t="inlineStr">
        <is>
          <t>공통</t>
        </is>
      </c>
      <c r="K281" s="10" t="inlineStr">
        <is>
          <t>High</t>
        </is>
      </c>
      <c r="L281" s="16">
        <f>IF(COUNTIF(M281:M281,"Fail")&gt;0,"Fail",IF(COUNTIF(M281:M281,"Blocked")&gt;0,"Blocked",IF(COUNTIF(M281:M281,"NI")&gt;0,"NI",IF(COUNTIF(M281:M281,"Pass")&gt;0,"Pass",""))))</f>
        <v/>
      </c>
      <c r="M281" s="17" t="n"/>
      <c r="N281" s="18" t="n"/>
      <c r="O281" s="18" t="n"/>
      <c r="P281" s="19" t="n"/>
      <c r="Q281" s="10" t="inlineStr">
        <is>
          <t>TC-CUR-007</t>
        </is>
      </c>
      <c r="R281" s="10" t="inlineStr">
        <is>
          <t>결정적</t>
        </is>
      </c>
      <c r="S281" s="10" t="inlineStr">
        <is>
          <t>성인 인증</t>
        </is>
      </c>
    </row>
    <row r="282" ht="30" customHeight="1">
      <c r="B282" s="10">
        <f>ROW()-9</f>
        <v/>
      </c>
      <c r="C282" s="164" t="inlineStr">
        <is>
          <t>재화</t>
        </is>
      </c>
      <c r="D282" s="166" t="inlineStr">
        <is>
          <t>획득</t>
        </is>
      </c>
      <c r="E282" s="167" t="inlineStr">
        <is>
          <t>데일리 미션 수령</t>
        </is>
      </c>
      <c r="F282" s="14" t="inlineStr">
        <is>
          <t>계정 A로 로그인해 간편 프로필 패널을 연 상태</t>
        </is>
      </c>
      <c r="G282" s="15" t="n">
        <v>1</v>
      </c>
      <c r="H282" s="14" t="inlineStr">
        <is>
          <t>데일리 미션 수령을 선택한다</t>
        </is>
      </c>
      <c r="I282" s="14" t="inlineStr">
        <is>
          <t>캔디가 50 증가한다</t>
        </is>
      </c>
      <c r="J282" s="10" t="inlineStr">
        <is>
          <t>공통</t>
        </is>
      </c>
      <c r="K282" s="10" t="inlineStr">
        <is>
          <t>Medium</t>
        </is>
      </c>
      <c r="L282" s="16">
        <f>IF(COUNTIF(M282:M282,"Fail")&gt;0,"Fail",IF(COUNTIF(M282:M282,"Blocked")&gt;0,"Blocked",IF(COUNTIF(M282:M282,"NI")&gt;0,"NI",IF(COUNTIF(M282:M282,"Pass")&gt;0,"Pass",""))))</f>
        <v/>
      </c>
      <c r="M282" s="17" t="n"/>
      <c r="N282" s="18" t="n"/>
      <c r="O282" s="18" t="n"/>
      <c r="P282" s="14" t="inlineStr">
        <is>
          <t>달성 판정 로직은 만들지 않았고 전 항목이 수령 가능 상태로 노출됩니다 — 미구현 사유는 화면에 표기됩니다</t>
        </is>
      </c>
      <c r="Q282" s="10" t="inlineStr">
        <is>
          <t>TC-CUR-008</t>
        </is>
      </c>
      <c r="R282" s="10" t="inlineStr">
        <is>
          <t>결정적</t>
        </is>
      </c>
      <c r="S282" s="10" t="inlineStr">
        <is>
          <t>성인 인증</t>
        </is>
      </c>
    </row>
    <row r="283" ht="30" customHeight="1">
      <c r="B283" s="10">
        <f>ROW()-9</f>
        <v/>
      </c>
      <c r="C283" s="164" t="inlineStr">
        <is>
          <t>재화</t>
        </is>
      </c>
      <c r="D283" s="166" t="inlineStr">
        <is>
          <t>획득</t>
        </is>
      </c>
      <c r="E283" s="167" t="inlineStr">
        <is>
          <t>데일리 미션 수령</t>
        </is>
      </c>
      <c r="F283" s="19" t="n"/>
      <c r="G283" s="19" t="n"/>
      <c r="H283" s="19" t="n"/>
      <c r="I283" s="14" t="inlineStr">
        <is>
          <t>수령 버튼이 비활성된다</t>
        </is>
      </c>
      <c r="J283" s="10" t="inlineStr">
        <is>
          <t>공통</t>
        </is>
      </c>
      <c r="K283" s="10" t="inlineStr">
        <is>
          <t>Medium</t>
        </is>
      </c>
      <c r="L283" s="16">
        <f>IF(COUNTIF(M283:M283,"Fail")&gt;0,"Fail",IF(COUNTIF(M283:M283,"Blocked")&gt;0,"Blocked",IF(COUNTIF(M283:M283,"NI")&gt;0,"NI",IF(COUNTIF(M283:M283,"Pass")&gt;0,"Pass",""))))</f>
        <v/>
      </c>
      <c r="M283" s="17" t="n"/>
      <c r="N283" s="18" t="n"/>
      <c r="O283" s="18" t="n"/>
      <c r="P283" s="19" t="n"/>
      <c r="Q283" s="10" t="inlineStr">
        <is>
          <t>TC-CUR-008</t>
        </is>
      </c>
      <c r="R283" s="10" t="inlineStr">
        <is>
          <t>결정적</t>
        </is>
      </c>
      <c r="S283" s="10" t="inlineStr">
        <is>
          <t>성인 인증</t>
        </is>
      </c>
    </row>
    <row r="284" ht="30" customHeight="1">
      <c r="B284" s="10">
        <f>ROW()-9</f>
        <v/>
      </c>
      <c r="C284" s="164" t="inlineStr">
        <is>
          <t>재화</t>
        </is>
      </c>
      <c r="D284" s="166" t="inlineStr">
        <is>
          <t>획득</t>
        </is>
      </c>
      <c r="E284" s="168" t="inlineStr">
        <is>
          <t>데일리 중복 수령 차단</t>
        </is>
      </c>
      <c r="F284" s="14" t="inlineStr">
        <is>
          <t>계정 A로 로그인하고 오늘 데일리를 이미 수령한 상태</t>
        </is>
      </c>
      <c r="G284" s="15" t="n">
        <v>1</v>
      </c>
      <c r="H284" s="14" t="inlineStr">
        <is>
          <t>다시 수령을 시도한다</t>
        </is>
      </c>
      <c r="I284" s="14" t="inlineStr">
        <is>
          <t>수령이 차단된다</t>
        </is>
      </c>
      <c r="J284" s="10" t="inlineStr">
        <is>
          <t>공통</t>
        </is>
      </c>
      <c r="K284" s="10" t="inlineStr">
        <is>
          <t>Medium</t>
        </is>
      </c>
      <c r="L284" s="16">
        <f>IF(COUNTIF(M284:M284,"Fail")&gt;0,"Fail",IF(COUNTIF(M284:M284,"Blocked")&gt;0,"Blocked",IF(COUNTIF(M284:M284,"NI")&gt;0,"NI",IF(COUNTIF(M284:M284,"Pass")&gt;0,"Pass",""))))</f>
        <v/>
      </c>
      <c r="M284" s="17" t="n"/>
      <c r="N284" s="18" t="n"/>
      <c r="O284" s="18" t="n"/>
      <c r="P284" s="14" t="inlineStr">
        <is>
          <t>기준일당 1회입니다. 기준일을 바꾸면 다시 수령 가능해지는 것 자체가 검증 대상입니다(§8-1)</t>
        </is>
      </c>
      <c r="Q284" s="10" t="inlineStr">
        <is>
          <t>TC-CUR-009</t>
        </is>
      </c>
      <c r="R284" s="10" t="inlineStr">
        <is>
          <t>금칙</t>
        </is>
      </c>
      <c r="S284" s="10" t="inlineStr">
        <is>
          <t>성인 인증</t>
        </is>
      </c>
    </row>
    <row r="285" ht="30" customHeight="1">
      <c r="B285" s="10">
        <f>ROW()-9</f>
        <v/>
      </c>
      <c r="C285" s="164" t="inlineStr">
        <is>
          <t>재화</t>
        </is>
      </c>
      <c r="D285" s="166" t="inlineStr">
        <is>
          <t>획득</t>
        </is>
      </c>
      <c r="E285" s="168" t="inlineStr">
        <is>
          <t>데일리 중복 수령 차단</t>
        </is>
      </c>
      <c r="F285" s="19" t="n"/>
      <c r="G285" s="19" t="n"/>
      <c r="H285" s="19" t="n"/>
      <c r="I285" s="14" t="inlineStr">
        <is>
          <t>잔액이 늘지 않는다</t>
        </is>
      </c>
      <c r="J285" s="10" t="inlineStr">
        <is>
          <t>공통</t>
        </is>
      </c>
      <c r="K285" s="10" t="inlineStr">
        <is>
          <t>Medium</t>
        </is>
      </c>
      <c r="L285" s="16">
        <f>IF(COUNTIF(M285:M285,"Fail")&gt;0,"Fail",IF(COUNTIF(M285:M285,"Blocked")&gt;0,"Blocked",IF(COUNTIF(M285:M285,"NI")&gt;0,"NI",IF(COUNTIF(M285:M285,"Pass")&gt;0,"Pass",""))))</f>
        <v/>
      </c>
      <c r="M285" s="17" t="n"/>
      <c r="N285" s="18" t="n"/>
      <c r="O285" s="18" t="n"/>
      <c r="P285" s="19" t="n"/>
      <c r="Q285" s="10" t="inlineStr">
        <is>
          <t>TC-CUR-009</t>
        </is>
      </c>
      <c r="R285" s="10" t="inlineStr">
        <is>
          <t>금칙</t>
        </is>
      </c>
      <c r="S285" s="10" t="inlineStr">
        <is>
          <t>성인 인증</t>
        </is>
      </c>
    </row>
    <row r="286" ht="30" customHeight="1">
      <c r="B286" s="10">
        <f>ROW()-9</f>
        <v/>
      </c>
      <c r="C286" s="164" t="inlineStr">
        <is>
          <t>재화</t>
        </is>
      </c>
      <c r="D286" s="166" t="inlineStr">
        <is>
          <t>획득</t>
        </is>
      </c>
      <c r="E286" s="169" t="inlineStr">
        <is>
          <t>웰컴 미션 항목별 1회</t>
        </is>
      </c>
      <c r="F286" s="14" t="inlineStr">
        <is>
          <t>계정 A로 로그인해 간편 프로필 패널을 연 상태</t>
        </is>
      </c>
      <c r="G286" s="15" t="n">
        <v>1</v>
      </c>
      <c r="H286" s="14" t="inlineStr">
        <is>
          <t>웰컴 미션 한 항목을 수령한다</t>
        </is>
      </c>
      <c r="I286" s="14" t="inlineStr">
        <is>
          <t>캔디가 50 증가한다</t>
        </is>
      </c>
      <c r="J286" s="10" t="inlineStr">
        <is>
          <t>공통</t>
        </is>
      </c>
      <c r="K286" s="10" t="inlineStr">
        <is>
          <t>Medium</t>
        </is>
      </c>
      <c r="L286" s="16">
        <f>IF(COUNTIF(M286:M286,"Fail")&gt;0,"Fail",IF(COUNTIF(M286:M286,"Blocked")&gt;0,"Blocked",IF(COUNTIF(M286:M286,"NI")&gt;0,"NI",IF(COUNTIF(M286:M286,"Pass")&gt;0,"Pass",""))))</f>
        <v/>
      </c>
      <c r="M286" s="17" t="n"/>
      <c r="N286" s="18" t="n"/>
      <c r="O286" s="18" t="n"/>
      <c r="P286" s="14" t="inlineStr">
        <is>
          <t>가입 환영·첫 대화·페르소나 등록 세 항목이며 각각 1회입니다</t>
        </is>
      </c>
      <c r="Q286" s="10" t="inlineStr">
        <is>
          <t>TC-CUR-010</t>
        </is>
      </c>
      <c r="R286" s="10" t="inlineStr">
        <is>
          <t>결정적</t>
        </is>
      </c>
      <c r="S286" s="10" t="inlineStr">
        <is>
          <t>성인 인증</t>
        </is>
      </c>
    </row>
    <row r="287" ht="30" customHeight="1">
      <c r="B287" s="10">
        <f>ROW()-9</f>
        <v/>
      </c>
      <c r="C287" s="164" t="inlineStr">
        <is>
          <t>재화</t>
        </is>
      </c>
      <c r="D287" s="166" t="inlineStr">
        <is>
          <t>획득</t>
        </is>
      </c>
      <c r="E287" s="169" t="inlineStr">
        <is>
          <t>웰컴 미션 항목별 1회</t>
        </is>
      </c>
      <c r="F287" s="14" t="inlineStr"/>
      <c r="G287" s="15" t="n">
        <v>2</v>
      </c>
      <c r="H287" s="14" t="inlineStr">
        <is>
          <t>같은 항목을 다시 시도한다</t>
        </is>
      </c>
      <c r="I287" s="14" t="inlineStr">
        <is>
          <t>수령이 차단된다</t>
        </is>
      </c>
      <c r="J287" s="10" t="inlineStr">
        <is>
          <t>공통</t>
        </is>
      </c>
      <c r="K287" s="10" t="inlineStr">
        <is>
          <t>Medium</t>
        </is>
      </c>
      <c r="L287" s="16">
        <f>IF(COUNTIF(M287:M287,"Fail")&gt;0,"Fail",IF(COUNTIF(M287:M287,"Blocked")&gt;0,"Blocked",IF(COUNTIF(M287:M287,"NI")&gt;0,"NI",IF(COUNTIF(M287:M287,"Pass")&gt;0,"Pass",""))))</f>
        <v/>
      </c>
      <c r="M287" s="17" t="n"/>
      <c r="N287" s="18" t="n"/>
      <c r="O287" s="18" t="n"/>
      <c r="P287" s="14" t="n"/>
      <c r="Q287" s="10" t="inlineStr">
        <is>
          <t>TC-CUR-010</t>
        </is>
      </c>
      <c r="R287" s="10" t="inlineStr">
        <is>
          <t>결정적</t>
        </is>
      </c>
      <c r="S287" s="10" t="inlineStr">
        <is>
          <t>성인 인증</t>
        </is>
      </c>
    </row>
    <row r="288" ht="30" customHeight="1">
      <c r="B288" s="10">
        <f>ROW()-9</f>
        <v/>
      </c>
      <c r="C288" s="164" t="inlineStr">
        <is>
          <t>재화</t>
        </is>
      </c>
      <c r="D288" s="166" t="inlineStr">
        <is>
          <t>획득</t>
        </is>
      </c>
      <c r="E288" s="138" t="inlineStr">
        <is>
          <t>내역 기록과 필터</t>
        </is>
      </c>
      <c r="F288" s="14" t="inlineStr">
        <is>
          <t>계정 A로 로그인하고 획득·소모가 모두 있는 상태</t>
        </is>
      </c>
      <c r="G288" s="15" t="n">
        <v>1</v>
      </c>
      <c r="H288" s="14" t="inlineStr">
        <is>
          <t>재화 패널의 내역을 확인한다</t>
        </is>
      </c>
      <c r="I288" s="14" t="inlineStr">
        <is>
          <t>획득과 소모가 지갑별로 분리 기록된다</t>
        </is>
      </c>
      <c r="J288" s="10" t="inlineStr">
        <is>
          <t>공통</t>
        </is>
      </c>
      <c r="K288" s="10" t="inlineStr">
        <is>
          <t>Low</t>
        </is>
      </c>
      <c r="L288" s="16">
        <f>IF(COUNTIF(M288:M288,"Fail")&gt;0,"Fail",IF(COUNTIF(M288:M288,"Blocked")&gt;0,"Blocked",IF(COUNTIF(M288:M288,"NI")&gt;0,"NI",IF(COUNTIF(M288:M288,"Pass")&gt;0,"Pass",""))))</f>
        <v/>
      </c>
      <c r="M288" s="17" t="n"/>
      <c r="N288" s="18" t="n"/>
      <c r="O288" s="18" t="n"/>
      <c r="P288" s="14" t="inlineStr">
        <is>
          <t>혼합 차감은 캔디와 크리스탈 두 줄로 남습니다. 재화 패널과 간편 프로필 패널이 같은 데이터를 같은 뷰로 봅니다</t>
        </is>
      </c>
      <c r="Q288" s="10" t="inlineStr">
        <is>
          <t>TC-CUR-011</t>
        </is>
      </c>
      <c r="R288" s="10" t="inlineStr">
        <is>
          <t>결정적</t>
        </is>
      </c>
      <c r="S288" s="10" t="inlineStr">
        <is>
          <t>성인 인증</t>
        </is>
      </c>
    </row>
    <row r="289" ht="30" customHeight="1">
      <c r="B289" s="10">
        <f>ROW()-9</f>
        <v/>
      </c>
      <c r="C289" s="164" t="inlineStr">
        <is>
          <t>재화</t>
        </is>
      </c>
      <c r="D289" s="166" t="inlineStr">
        <is>
          <t>획득</t>
        </is>
      </c>
      <c r="E289" s="138" t="inlineStr">
        <is>
          <t>내역 기록과 필터</t>
        </is>
      </c>
      <c r="F289" s="14" t="inlineStr"/>
      <c r="G289" s="15" t="n">
        <v>2</v>
      </c>
      <c r="H289" s="14" t="inlineStr">
        <is>
          <t>소모 필터를 선택한다</t>
        </is>
      </c>
      <c r="I289" s="14" t="inlineStr">
        <is>
          <t>소모 항목만 남는다</t>
        </is>
      </c>
      <c r="J289" s="10" t="inlineStr">
        <is>
          <t>공통</t>
        </is>
      </c>
      <c r="K289" s="10" t="inlineStr">
        <is>
          <t>Low</t>
        </is>
      </c>
      <c r="L289" s="16">
        <f>IF(COUNTIF(M289:M289,"Fail")&gt;0,"Fail",IF(COUNTIF(M289:M289,"Blocked")&gt;0,"Blocked",IF(COUNTIF(M289:M289,"NI")&gt;0,"NI",IF(COUNTIF(M289:M289,"Pass")&gt;0,"Pass",""))))</f>
        <v/>
      </c>
      <c r="M289" s="17" t="n"/>
      <c r="N289" s="18" t="n"/>
      <c r="O289" s="18" t="n"/>
      <c r="P289" s="14" t="n"/>
      <c r="Q289" s="10" t="inlineStr">
        <is>
          <t>TC-CUR-011</t>
        </is>
      </c>
      <c r="R289" s="10" t="inlineStr">
        <is>
          <t>결정적</t>
        </is>
      </c>
      <c r="S289" s="10" t="inlineStr">
        <is>
          <t>성인 인증</t>
        </is>
      </c>
    </row>
    <row r="290" ht="30" customHeight="1">
      <c r="B290" s="10">
        <f>ROW()-9</f>
        <v/>
      </c>
      <c r="C290" s="164" t="inlineStr">
        <is>
          <t>재화</t>
        </is>
      </c>
      <c r="D290" s="170" t="inlineStr">
        <is>
          <t>결제 mock</t>
        </is>
      </c>
      <c r="E290" s="171" t="inlineStr">
        <is>
          <t>충전 성공 반영</t>
        </is>
      </c>
      <c r="F290" s="14" t="inlineStr">
        <is>
          <t>계정 A로 로그인해 재화 패널을 연 상태</t>
        </is>
      </c>
      <c r="G290" s="15" t="n">
        <v>1</v>
      </c>
      <c r="H290" s="14" t="inlineStr">
        <is>
          <t>충전 성공을 선택한다</t>
        </is>
      </c>
      <c r="I290" s="14" t="inlineStr">
        <is>
          <t>크리스탈이 100 증가한다</t>
        </is>
      </c>
      <c r="J290" s="10" t="inlineStr">
        <is>
          <t>공통</t>
        </is>
      </c>
      <c r="K290" s="10" t="inlineStr">
        <is>
          <t>High</t>
        </is>
      </c>
      <c r="L290" s="16">
        <f>IF(COUNTIF(M290:M290,"Fail")&gt;0,"Fail",IF(COUNTIF(M290:M290,"Blocked")&gt;0,"Blocked",IF(COUNTIF(M290:M290,"NI")&gt;0,"NI",IF(COUNTIF(M290:M290,"Pass")&gt;0,"Pass",""))))</f>
        <v/>
      </c>
      <c r="M290" s="17" t="n"/>
      <c r="N290" s="18" t="n"/>
      <c r="O290" s="18" t="n"/>
      <c r="P290" s="14" t="inlineStr">
        <is>
          <t>실 PG 연동은 검증 불가 항목이며 mock 콜백만 봅니다 — 그 사실을 리포트에 명시합니다</t>
        </is>
      </c>
      <c r="Q290" s="10" t="inlineStr">
        <is>
          <t>TC-CUR-012</t>
        </is>
      </c>
      <c r="R290" s="10" t="inlineStr">
        <is>
          <t>결정적</t>
        </is>
      </c>
      <c r="S290" s="10" t="inlineStr">
        <is>
          <t>성인 인증</t>
        </is>
      </c>
    </row>
    <row r="291" ht="30" customHeight="1">
      <c r="B291" s="10">
        <f>ROW()-9</f>
        <v/>
      </c>
      <c r="C291" s="164" t="inlineStr">
        <is>
          <t>재화</t>
        </is>
      </c>
      <c r="D291" s="170" t="inlineStr">
        <is>
          <t>결제 mock</t>
        </is>
      </c>
      <c r="E291" s="171" t="inlineStr">
        <is>
          <t>충전 성공 반영</t>
        </is>
      </c>
      <c r="F291" s="19" t="n"/>
      <c r="G291" s="19" t="n"/>
      <c r="H291" s="19" t="n"/>
      <c r="I291" s="14" t="inlineStr">
        <is>
          <t>획득 내역에 기록된다</t>
        </is>
      </c>
      <c r="J291" s="10" t="inlineStr">
        <is>
          <t>공통</t>
        </is>
      </c>
      <c r="K291" s="10" t="inlineStr">
        <is>
          <t>High</t>
        </is>
      </c>
      <c r="L291" s="16">
        <f>IF(COUNTIF(M291:M291,"Fail")&gt;0,"Fail",IF(COUNTIF(M291:M291,"Blocked")&gt;0,"Blocked",IF(COUNTIF(M291:M291,"NI")&gt;0,"NI",IF(COUNTIF(M291:M291,"Pass")&gt;0,"Pass",""))))</f>
        <v/>
      </c>
      <c r="M291" s="17" t="n"/>
      <c r="N291" s="18" t="n"/>
      <c r="O291" s="18" t="n"/>
      <c r="P291" s="19" t="n"/>
      <c r="Q291" s="10" t="inlineStr">
        <is>
          <t>TC-CUR-012</t>
        </is>
      </c>
      <c r="R291" s="10" t="inlineStr">
        <is>
          <t>결정적</t>
        </is>
      </c>
      <c r="S291" s="10" t="inlineStr">
        <is>
          <t>성인 인증</t>
        </is>
      </c>
    </row>
    <row r="292" ht="30" customHeight="1">
      <c r="B292" s="10">
        <f>ROW()-9</f>
        <v/>
      </c>
      <c r="C292" s="164" t="inlineStr">
        <is>
          <t>재화</t>
        </is>
      </c>
      <c r="D292" s="170" t="inlineStr">
        <is>
          <t>결제 mock</t>
        </is>
      </c>
      <c r="E292" s="163" t="inlineStr">
        <is>
          <t>충전 실패 롤백</t>
        </is>
      </c>
      <c r="F292" s="14" t="inlineStr">
        <is>
          <t>계정 A로 로그인해 재화 패널을 연 상태</t>
        </is>
      </c>
      <c r="G292" s="15" t="n">
        <v>1</v>
      </c>
      <c r="H292" s="14" t="inlineStr">
        <is>
          <t>충전 실패를 선택한다</t>
        </is>
      </c>
      <c r="I292" s="14" t="inlineStr">
        <is>
          <t>잔액이 변하지 않는다</t>
        </is>
      </c>
      <c r="J292" s="10" t="inlineStr">
        <is>
          <t>공통</t>
        </is>
      </c>
      <c r="K292" s="10" t="inlineStr">
        <is>
          <t>High</t>
        </is>
      </c>
      <c r="L292" s="16">
        <f>IF(COUNTIF(M292:M292,"Fail")&gt;0,"Fail",IF(COUNTIF(M292:M292,"Blocked")&gt;0,"Blocked",IF(COUNTIF(M292:M292,"NI")&gt;0,"NI",IF(COUNTIF(M292:M292,"Pass")&gt;0,"Pass",""))))</f>
        <v/>
      </c>
      <c r="M292" s="17" t="n"/>
      <c r="N292" s="18" t="n"/>
      <c r="O292" s="18" t="n"/>
      <c r="P292" s="14" t="inlineStr">
        <is>
          <t>실패가 잔액을 건드리면 결제 정합이 깨집니다 — 내역까지 확인해야 절반만 반영된 상태를 잡습니다</t>
        </is>
      </c>
      <c r="Q292" s="10" t="inlineStr">
        <is>
          <t>TC-CUR-013</t>
        </is>
      </c>
      <c r="R292" s="10" t="inlineStr">
        <is>
          <t>금칙</t>
        </is>
      </c>
      <c r="S292" s="10" t="inlineStr">
        <is>
          <t>성인 인증</t>
        </is>
      </c>
    </row>
    <row r="293" ht="30" customHeight="1">
      <c r="B293" s="10">
        <f>ROW()-9</f>
        <v/>
      </c>
      <c r="C293" s="164" t="inlineStr">
        <is>
          <t>재화</t>
        </is>
      </c>
      <c r="D293" s="170" t="inlineStr">
        <is>
          <t>결제 mock</t>
        </is>
      </c>
      <c r="E293" s="163" t="inlineStr">
        <is>
          <t>충전 실패 롤백</t>
        </is>
      </c>
      <c r="F293" s="50" t="n"/>
      <c r="G293" s="50" t="n"/>
      <c r="H293" s="50" t="n"/>
      <c r="I293" s="14" t="inlineStr">
        <is>
          <t>실패 안내 노출된다</t>
        </is>
      </c>
      <c r="J293" s="10" t="inlineStr">
        <is>
          <t>공통</t>
        </is>
      </c>
      <c r="K293" s="10" t="inlineStr">
        <is>
          <t>High</t>
        </is>
      </c>
      <c r="L293" s="16">
        <f>IF(COUNTIF(M293:M293,"Fail")&gt;0,"Fail",IF(COUNTIF(M293:M293,"Blocked")&gt;0,"Blocked",IF(COUNTIF(M293:M293,"NI")&gt;0,"NI",IF(COUNTIF(M293:M293,"Pass")&gt;0,"Pass",""))))</f>
        <v/>
      </c>
      <c r="M293" s="17" t="n"/>
      <c r="N293" s="18" t="n"/>
      <c r="O293" s="18" t="n"/>
      <c r="P293" s="50" t="n"/>
      <c r="Q293" s="10" t="inlineStr">
        <is>
          <t>TC-CUR-013</t>
        </is>
      </c>
      <c r="R293" s="10" t="inlineStr">
        <is>
          <t>금칙</t>
        </is>
      </c>
      <c r="S293" s="10" t="inlineStr">
        <is>
          <t>성인 인증</t>
        </is>
      </c>
    </row>
    <row r="294" ht="30" customHeight="1">
      <c r="B294" s="10">
        <f>ROW()-9</f>
        <v/>
      </c>
      <c r="C294" s="164" t="inlineStr">
        <is>
          <t>재화</t>
        </is>
      </c>
      <c r="D294" s="170" t="inlineStr">
        <is>
          <t>결제 mock</t>
        </is>
      </c>
      <c r="E294" s="163" t="inlineStr">
        <is>
          <t>충전 실패 롤백</t>
        </is>
      </c>
      <c r="F294" s="19" t="n"/>
      <c r="G294" s="19" t="n"/>
      <c r="H294" s="19" t="n"/>
      <c r="I294" s="14" t="inlineStr">
        <is>
          <t>내역에 남지 않는다</t>
        </is>
      </c>
      <c r="J294" s="10" t="inlineStr">
        <is>
          <t>공통</t>
        </is>
      </c>
      <c r="K294" s="10" t="inlineStr">
        <is>
          <t>High</t>
        </is>
      </c>
      <c r="L294" s="16">
        <f>IF(COUNTIF(M294:M294,"Fail")&gt;0,"Fail",IF(COUNTIF(M294:M294,"Blocked")&gt;0,"Blocked",IF(COUNTIF(M294:M294,"NI")&gt;0,"NI",IF(COUNTIF(M294:M294,"Pass")&gt;0,"Pass",""))))</f>
        <v/>
      </c>
      <c r="M294" s="17" t="n"/>
      <c r="N294" s="18" t="n"/>
      <c r="O294" s="18" t="n"/>
      <c r="P294" s="19" t="n"/>
      <c r="Q294" s="10" t="inlineStr">
        <is>
          <t>TC-CUR-013</t>
        </is>
      </c>
      <c r="R294" s="10" t="inlineStr">
        <is>
          <t>금칙</t>
        </is>
      </c>
      <c r="S294" s="10" t="inlineStr">
        <is>
          <t>성인 인증</t>
        </is>
      </c>
    </row>
    <row r="295" ht="30" customHeight="1">
      <c r="B295" s="10">
        <f>ROW()-9</f>
        <v/>
      </c>
      <c r="C295" s="164" t="inlineStr">
        <is>
          <t>재화</t>
        </is>
      </c>
      <c r="D295" s="20" t="inlineStr">
        <is>
          <t>잔액</t>
        </is>
      </c>
      <c r="E295" s="165" t="inlineStr">
        <is>
          <t>잔액 진입점 일관</t>
        </is>
      </c>
      <c r="F295" s="14" t="inlineStr">
        <is>
          <t>계정 A로 로그인해 대화방에 있는 상태</t>
        </is>
      </c>
      <c r="G295" s="15" t="n">
        <v>1</v>
      </c>
      <c r="H295" s="14" t="inlineStr">
        <is>
          <t>대화방 헤더의 잔액을 선택한다</t>
        </is>
      </c>
      <c r="I295" s="14" t="inlineStr">
        <is>
          <t>재화 패널이 열린다</t>
        </is>
      </c>
      <c r="J295" s="10" t="inlineStr">
        <is>
          <t>공통</t>
        </is>
      </c>
      <c r="K295" s="10" t="inlineStr">
        <is>
          <t>Low</t>
        </is>
      </c>
      <c r="L295" s="16">
        <f>IF(COUNTIF(M295:M295,"Fail")&gt;0,"Fail",IF(COUNTIF(M295:M295,"Blocked")&gt;0,"Blocked",IF(COUNTIF(M295:M295,"NI")&gt;0,"NI",IF(COUNTIF(M295:M295,"Pass")&gt;0,"Pass",""))))</f>
        <v/>
      </c>
      <c r="M295" s="17" t="n"/>
      <c r="N295" s="18" t="n"/>
      <c r="O295" s="18" t="n"/>
      <c r="P295" s="14" t="inlineStr">
        <is>
          <t>패널은 전역이라 상단 바와 대화방 헤더 두 곳에서 열립니다 — 두 경로가 다른 값을 보이면 잔액 정합이 깨진 것입니다</t>
        </is>
      </c>
      <c r="Q295" s="10" t="inlineStr">
        <is>
          <t>TC-CUR-014</t>
        </is>
      </c>
      <c r="R295" s="10" t="inlineStr">
        <is>
          <t>결정적</t>
        </is>
      </c>
      <c r="S295" s="10" t="inlineStr">
        <is>
          <t>성인 인증</t>
        </is>
      </c>
    </row>
    <row r="296" ht="30" customHeight="1">
      <c r="B296" s="10">
        <f>ROW()-9</f>
        <v/>
      </c>
      <c r="C296" s="164" t="inlineStr">
        <is>
          <t>재화</t>
        </is>
      </c>
      <c r="D296" s="20" t="inlineStr">
        <is>
          <t>잔액</t>
        </is>
      </c>
      <c r="E296" s="165" t="inlineStr">
        <is>
          <t>잔액 진입점 일관</t>
        </is>
      </c>
      <c r="F296" s="14" t="inlineStr"/>
      <c r="G296" s="15" t="n">
        <v>2</v>
      </c>
      <c r="H296" s="14" t="inlineStr">
        <is>
          <t>패널을 닫고 상단 바의 잔액을 선택한다</t>
        </is>
      </c>
      <c r="I296" s="14" t="inlineStr">
        <is>
          <t>같은 패널이 같은 값으로 열린다</t>
        </is>
      </c>
      <c r="J296" s="10" t="inlineStr">
        <is>
          <t>공통</t>
        </is>
      </c>
      <c r="K296" s="10" t="inlineStr">
        <is>
          <t>Low</t>
        </is>
      </c>
      <c r="L296" s="16">
        <f>IF(COUNTIF(M296:M296,"Fail")&gt;0,"Fail",IF(COUNTIF(M296:M296,"Blocked")&gt;0,"Blocked",IF(COUNTIF(M296:M296,"NI")&gt;0,"NI",IF(COUNTIF(M296:M296,"Pass")&gt;0,"Pass",""))))</f>
        <v/>
      </c>
      <c r="M296" s="17" t="n"/>
      <c r="N296" s="18" t="n"/>
      <c r="O296" s="18" t="n"/>
      <c r="P296" s="14" t="n"/>
      <c r="Q296" s="10" t="inlineStr">
        <is>
          <t>TC-CUR-014</t>
        </is>
      </c>
      <c r="R296" s="10" t="inlineStr">
        <is>
          <t>결정적</t>
        </is>
      </c>
      <c r="S296" s="10" t="inlineStr">
        <is>
          <t>성인 인증</t>
        </is>
      </c>
    </row>
    <row r="297" ht="30" customHeight="1">
      <c r="B297" s="10">
        <f>ROW()-9</f>
        <v/>
      </c>
      <c r="C297" s="172" t="inlineStr">
        <is>
          <t>스텁·정적</t>
        </is>
      </c>
      <c r="D297" s="173" t="inlineStr">
        <is>
          <t>커뮤니티 탭</t>
        </is>
      </c>
      <c r="E297" s="174" t="inlineStr">
        <is>
          <t>전시용 정적 확인</t>
        </is>
      </c>
      <c r="F297" s="14" t="inlineStr">
        <is>
          <t>계정 A로 로그인한 상태</t>
        </is>
      </c>
      <c r="G297" s="15" t="n">
        <v>1</v>
      </c>
      <c r="H297" s="14" t="inlineStr">
        <is>
          <t>커뮤니티 탭을 연다</t>
        </is>
      </c>
      <c r="I297" s="14" t="inlineStr">
        <is>
          <t>창작 게시글이 읽기 전용으로 노출된다</t>
        </is>
      </c>
      <c r="J297" s="10" t="inlineStr">
        <is>
          <t>공통</t>
        </is>
      </c>
      <c r="K297" s="10" t="inlineStr">
        <is>
          <t>Low</t>
        </is>
      </c>
      <c r="L297" s="16">
        <f>IF(COUNTIF(M297:M297,"Fail")&gt;0,"Fail",IF(COUNTIF(M297:M297,"Blocked")&gt;0,"Blocked",IF(COUNTIF(M297:M297,"NI")&gt;0,"NI",IF(COUNTIF(M297:M297,"Pass")&gt;0,"Pass",""))))</f>
        <v/>
      </c>
      <c r="M297" s="17" t="n"/>
      <c r="N297" s="18" t="n"/>
      <c r="O297" s="18" t="n"/>
      <c r="P297" s="14" t="inlineStr">
        <is>
          <t>소셜은 제외 영역이라 데이터 표시만 있고 발생·조작 로직이 없습니다</t>
        </is>
      </c>
      <c r="Q297" s="10" t="inlineStr">
        <is>
          <t>TC-DSC-052</t>
        </is>
      </c>
      <c r="R297" s="10" t="inlineStr">
        <is>
          <t>결정적</t>
        </is>
      </c>
      <c r="S297" s="10" t="inlineStr">
        <is>
          <t>성인 인증</t>
        </is>
      </c>
    </row>
    <row r="298" ht="30" customHeight="1">
      <c r="B298" s="10">
        <f>ROW()-9</f>
        <v/>
      </c>
      <c r="C298" s="172" t="inlineStr">
        <is>
          <t>스텁·정적</t>
        </is>
      </c>
      <c r="D298" s="173" t="inlineStr">
        <is>
          <t>커뮤니티 탭</t>
        </is>
      </c>
      <c r="E298" s="174" t="inlineStr">
        <is>
          <t>전시용 정적 확인</t>
        </is>
      </c>
      <c r="F298" s="19" t="n"/>
      <c r="G298" s="19" t="n"/>
      <c r="H298" s="19" t="n"/>
      <c r="I298" s="14" t="inlineStr">
        <is>
          <t>작성·댓글 수단이 제공되지 않는다</t>
        </is>
      </c>
      <c r="J298" s="10" t="inlineStr">
        <is>
          <t>공통</t>
        </is>
      </c>
      <c r="K298" s="10" t="inlineStr">
        <is>
          <t>Low</t>
        </is>
      </c>
      <c r="L298" s="16">
        <f>IF(COUNTIF(M298:M298,"Fail")&gt;0,"Fail",IF(COUNTIF(M298:M298,"Blocked")&gt;0,"Blocked",IF(COUNTIF(M298:M298,"NI")&gt;0,"NI",IF(COUNTIF(M298:M298,"Pass")&gt;0,"Pass",""))))</f>
        <v/>
      </c>
      <c r="M298" s="17" t="n"/>
      <c r="N298" s="18" t="n"/>
      <c r="O298" s="18" t="n"/>
      <c r="P298" s="19" t="n"/>
      <c r="Q298" s="10" t="inlineStr">
        <is>
          <t>TC-DSC-052</t>
        </is>
      </c>
      <c r="R298" s="10" t="inlineStr">
        <is>
          <t>결정적</t>
        </is>
      </c>
      <c r="S298" s="10" t="inlineStr">
        <is>
          <t>성인 인증</t>
        </is>
      </c>
    </row>
    <row r="299" ht="30" customHeight="1">
      <c r="B299" s="10">
        <f>ROW()-9</f>
        <v/>
      </c>
      <c r="C299" s="172" t="inlineStr">
        <is>
          <t>스텁·정적</t>
        </is>
      </c>
      <c r="D299" s="175" t="inlineStr">
        <is>
          <t>내 작품 탭</t>
        </is>
      </c>
      <c r="E299" s="176" t="inlineStr">
        <is>
          <t>스텁 사유와 트리 항목명</t>
        </is>
      </c>
      <c r="F299" s="14" t="inlineStr">
        <is>
          <t>계정 A로 로그인한 상태</t>
        </is>
      </c>
      <c r="G299" s="15" t="n">
        <v>1</v>
      </c>
      <c r="H299" s="14" t="inlineStr">
        <is>
          <t>내 작품 탭을 연다</t>
        </is>
      </c>
      <c r="I299" s="14" t="inlineStr">
        <is>
          <t>검증 범위 제외 사유가 노출된다</t>
        </is>
      </c>
      <c r="J299" s="10" t="inlineStr">
        <is>
          <t>공통</t>
        </is>
      </c>
      <c r="K299" s="10" t="inlineStr">
        <is>
          <t>Low</t>
        </is>
      </c>
      <c r="L299" s="16">
        <f>IF(COUNTIF(M299:M299,"Fail")&gt;0,"Fail",IF(COUNTIF(M299:M299,"Blocked")&gt;0,"Blocked",IF(COUNTIF(M299:M299,"NI")&gt;0,"NI",IF(COUNTIF(M299:M299,"Pass")&gt;0,"Pass",""))))</f>
        <v/>
      </c>
      <c r="M299" s="17" t="n"/>
      <c r="N299" s="18" t="n"/>
      <c r="O299" s="18" t="n"/>
      <c r="P299" s="14" t="inlineStr">
        <is>
          <t>트리가 제외 사유의 정본임을 화면에서 읽히게 합니다 — 스텁이 빈 화면이 아니라 판단의 결과임을 보이는 자리입니다</t>
        </is>
      </c>
      <c r="Q299" s="10" t="inlineStr">
        <is>
          <t>TC-DSC-053</t>
        </is>
      </c>
      <c r="R299" s="10" t="inlineStr">
        <is>
          <t>결정적</t>
        </is>
      </c>
      <c r="S299" s="10" t="inlineStr">
        <is>
          <t>성인 인증</t>
        </is>
      </c>
    </row>
    <row r="300" ht="30" customHeight="1">
      <c r="B300" s="10">
        <f>ROW()-9</f>
        <v/>
      </c>
      <c r="C300" s="172" t="inlineStr">
        <is>
          <t>스텁·정적</t>
        </is>
      </c>
      <c r="D300" s="175" t="inlineStr">
        <is>
          <t>내 작품 탭</t>
        </is>
      </c>
      <c r="E300" s="176" t="inlineStr">
        <is>
          <t>스텁 사유와 트리 항목명</t>
        </is>
      </c>
      <c r="F300" s="19" t="n"/>
      <c r="G300" s="19" t="n"/>
      <c r="H300" s="19" t="n"/>
      <c r="I300" s="14" t="inlineStr">
        <is>
          <t>트리 제외 영역의 항목명이 노출된다</t>
        </is>
      </c>
      <c r="J300" s="10" t="inlineStr">
        <is>
          <t>공통</t>
        </is>
      </c>
      <c r="K300" s="10" t="inlineStr">
        <is>
          <t>Low</t>
        </is>
      </c>
      <c r="L300" s="16">
        <f>IF(COUNTIF(M300:M300,"Fail")&gt;0,"Fail",IF(COUNTIF(M300:M300,"Blocked")&gt;0,"Blocked",IF(COUNTIF(M300:M300,"NI")&gt;0,"NI",IF(COUNTIF(M300:M300,"Pass")&gt;0,"Pass",""))))</f>
        <v/>
      </c>
      <c r="M300" s="17" t="n"/>
      <c r="N300" s="18" t="n"/>
      <c r="O300" s="18" t="n"/>
      <c r="P300" s="19" t="n"/>
      <c r="Q300" s="10" t="inlineStr">
        <is>
          <t>TC-DSC-053</t>
        </is>
      </c>
      <c r="R300" s="10" t="inlineStr">
        <is>
          <t>결정적</t>
        </is>
      </c>
      <c r="S300" s="10" t="inlineStr">
        <is>
          <t>성인 인증</t>
        </is>
      </c>
    </row>
  </sheetData>
  <autoFilter ref="B4:S300"/>
  <mergeCells count="387">
    <mergeCell ref="P35:P36"/>
    <mergeCell ref="H231:H232"/>
    <mergeCell ref="G268:G269"/>
    <mergeCell ref="F133:F134"/>
    <mergeCell ref="H69:H71"/>
    <mergeCell ref="P193:P194"/>
    <mergeCell ref="G297:G298"/>
    <mergeCell ref="G82:G83"/>
    <mergeCell ref="B6:K6"/>
    <mergeCell ref="G299:G300"/>
    <mergeCell ref="H191:H192"/>
    <mergeCell ref="F28:F29"/>
    <mergeCell ref="G231:G232"/>
    <mergeCell ref="H28:H29"/>
    <mergeCell ref="P112:P113"/>
    <mergeCell ref="G246:G247"/>
    <mergeCell ref="P275:P276"/>
    <mergeCell ref="F57:F58"/>
    <mergeCell ref="H184:H185"/>
    <mergeCell ref="G187:G189"/>
    <mergeCell ref="P270:P271"/>
    <mergeCell ref="G178:G179"/>
    <mergeCell ref="F277:F278"/>
    <mergeCell ref="F204:F205"/>
    <mergeCell ref="H133:H134"/>
    <mergeCell ref="F141:F142"/>
    <mergeCell ref="F135:F136"/>
    <mergeCell ref="G73:G74"/>
    <mergeCell ref="P101:P102"/>
    <mergeCell ref="H174:H175"/>
    <mergeCell ref="G104:G105"/>
    <mergeCell ref="G106:G107"/>
    <mergeCell ref="G155:G156"/>
    <mergeCell ref="F299:F300"/>
    <mergeCell ref="G126:G127"/>
    <mergeCell ref="P178:P179"/>
    <mergeCell ref="P214:P215"/>
    <mergeCell ref="P49:P50"/>
    <mergeCell ref="G28:G29"/>
    <mergeCell ref="H124:H125"/>
    <mergeCell ref="G79:G80"/>
    <mergeCell ref="F270:F271"/>
    <mergeCell ref="F49:F50"/>
    <mergeCell ref="P133:P134"/>
    <mergeCell ref="G152:G154"/>
    <mergeCell ref="H42:H43"/>
    <mergeCell ref="F284:F285"/>
    <mergeCell ref="H284:H285"/>
    <mergeCell ref="P135:P136"/>
    <mergeCell ref="P191:P192"/>
    <mergeCell ref="H240:H241"/>
    <mergeCell ref="G170:G171"/>
    <mergeCell ref="P174:P175"/>
    <mergeCell ref="H108:H109"/>
    <mergeCell ref="P266:P267"/>
    <mergeCell ref="H73:H74"/>
    <mergeCell ref="P248:P250"/>
    <mergeCell ref="H266:H267"/>
    <mergeCell ref="G174:G175"/>
    <mergeCell ref="P268:P269"/>
    <mergeCell ref="F104:F105"/>
    <mergeCell ref="P297:P298"/>
    <mergeCell ref="L7"/>
    <mergeCell ref="P82:P83"/>
    <mergeCell ref="P57:P58"/>
    <mergeCell ref="F106:F107"/>
    <mergeCell ref="P184:P185"/>
    <mergeCell ref="F227:F229"/>
    <mergeCell ref="H32:H33"/>
    <mergeCell ref="H227:H229"/>
    <mergeCell ref="H268:H269"/>
    <mergeCell ref="F170:F171"/>
    <mergeCell ref="H170:H171"/>
    <mergeCell ref="F210:F211"/>
    <mergeCell ref="H210:H211"/>
    <mergeCell ref="H126:H127"/>
    <mergeCell ref="G145:G146"/>
    <mergeCell ref="G258:G259"/>
    <mergeCell ref="F101:F102"/>
    <mergeCell ref="F223:F224"/>
    <mergeCell ref="F79:F80"/>
    <mergeCell ref="H223:H224"/>
    <mergeCell ref="H79:H80"/>
    <mergeCell ref="G49:G50"/>
    <mergeCell ref="H208:H209"/>
    <mergeCell ref="H145:H146"/>
    <mergeCell ref="H152:H154"/>
    <mergeCell ref="G284:G285"/>
    <mergeCell ref="H139:H140"/>
    <mergeCell ref="G69:G71"/>
    <mergeCell ref="H76:H77"/>
    <mergeCell ref="L8"/>
    <mergeCell ref="F248:F250"/>
    <mergeCell ref="G273:G274"/>
    <mergeCell ref="O3:O4"/>
    <mergeCell ref="Q3:Q4"/>
    <mergeCell ref="S3:S4"/>
    <mergeCell ref="F178:F179"/>
    <mergeCell ref="B9:K9"/>
    <mergeCell ref="B3:B4"/>
    <mergeCell ref="P223:P224"/>
    <mergeCell ref="H292:H294"/>
    <mergeCell ref="G191:G192"/>
    <mergeCell ref="P227:P229"/>
    <mergeCell ref="P124:P125"/>
    <mergeCell ref="G128:G129"/>
    <mergeCell ref="G227:G229"/>
    <mergeCell ref="P126:P127"/>
    <mergeCell ref="H277:H278"/>
    <mergeCell ref="G210:G211"/>
    <mergeCell ref="F231:F232"/>
    <mergeCell ref="F2:S2"/>
    <mergeCell ref="L5"/>
    <mergeCell ref="G292:G294"/>
    <mergeCell ref="H95:H96"/>
    <mergeCell ref="H166:H167"/>
    <mergeCell ref="P79:P80"/>
    <mergeCell ref="P73:P74"/>
    <mergeCell ref="H280:H281"/>
    <mergeCell ref="F168:F169"/>
    <mergeCell ref="P290:P291"/>
    <mergeCell ref="F24:F25"/>
    <mergeCell ref="H290:H291"/>
    <mergeCell ref="G223:G224"/>
    <mergeCell ref="H242:H244"/>
    <mergeCell ref="P155:P156"/>
    <mergeCell ref="F21:F22"/>
    <mergeCell ref="G53:G54"/>
    <mergeCell ref="G180:G181"/>
    <mergeCell ref="P170:P171"/>
    <mergeCell ref="G55:G56"/>
    <mergeCell ref="F69:F71"/>
    <mergeCell ref="H66:H67"/>
    <mergeCell ref="P28:P29"/>
    <mergeCell ref="P3:P4"/>
    <mergeCell ref="H3:H4"/>
    <mergeCell ref="R3:R4"/>
    <mergeCell ref="J3:J4"/>
    <mergeCell ref="P18:P19"/>
    <mergeCell ref="H214:H215"/>
    <mergeCell ref="H18:H19"/>
    <mergeCell ref="P240:P241"/>
    <mergeCell ref="G208:G209"/>
    <mergeCell ref="F128:F129"/>
    <mergeCell ref="F174:F175"/>
    <mergeCell ref="G66:G67"/>
    <mergeCell ref="L6"/>
    <mergeCell ref="H168:H169"/>
    <mergeCell ref="H21:H22"/>
    <mergeCell ref="F238:F239"/>
    <mergeCell ref="F32:F33"/>
    <mergeCell ref="F268:F269"/>
    <mergeCell ref="P145:P146"/>
    <mergeCell ref="P152:P154"/>
    <mergeCell ref="P95:P96"/>
    <mergeCell ref="B7:K7"/>
    <mergeCell ref="G124:G125"/>
    <mergeCell ref="H121:H123"/>
    <mergeCell ref="G280:G281"/>
    <mergeCell ref="G59:G60"/>
    <mergeCell ref="G119:G120"/>
    <mergeCell ref="G168:G169"/>
    <mergeCell ref="G290:G291"/>
    <mergeCell ref="P42:P43"/>
    <mergeCell ref="P284:P285"/>
    <mergeCell ref="F53:F54"/>
    <mergeCell ref="H26:H27"/>
    <mergeCell ref="H82:H83"/>
    <mergeCell ref="H53:H54"/>
    <mergeCell ref="H180:H181"/>
    <mergeCell ref="H187:H189"/>
    <mergeCell ref="P273:P274"/>
    <mergeCell ref="F55:F56"/>
    <mergeCell ref="H117:H118"/>
    <mergeCell ref="H55:H56"/>
    <mergeCell ref="H11:H12"/>
    <mergeCell ref="G137:G138"/>
    <mergeCell ref="G3:G4"/>
    <mergeCell ref="F42:F43"/>
    <mergeCell ref="I3:I4"/>
    <mergeCell ref="G139:G140"/>
    <mergeCell ref="G18:G19"/>
    <mergeCell ref="G76:G77"/>
    <mergeCell ref="P166:P167"/>
    <mergeCell ref="F258:F259"/>
    <mergeCell ref="G51:G52"/>
    <mergeCell ref="H258:H259"/>
    <mergeCell ref="P32:P33"/>
    <mergeCell ref="G143:G144"/>
    <mergeCell ref="H233:H234"/>
    <mergeCell ref="P168:P169"/>
    <mergeCell ref="P24:P25"/>
    <mergeCell ref="F266:F267"/>
    <mergeCell ref="H24:H25"/>
    <mergeCell ref="B8:K8"/>
    <mergeCell ref="H235:H236"/>
    <mergeCell ref="P26:P27"/>
    <mergeCell ref="G21:G22"/>
    <mergeCell ref="H299:H300"/>
    <mergeCell ref="G238:G239"/>
    <mergeCell ref="G240:G241"/>
    <mergeCell ref="F124:F125"/>
    <mergeCell ref="B5:K5"/>
    <mergeCell ref="G233:G234"/>
    <mergeCell ref="F126:F127"/>
    <mergeCell ref="H253:H254"/>
    <mergeCell ref="D3:D4"/>
    <mergeCell ref="G235:G236"/>
    <mergeCell ref="H119:H120"/>
    <mergeCell ref="H246:H247"/>
    <mergeCell ref="P53:P54"/>
    <mergeCell ref="F61:F62"/>
    <mergeCell ref="P187:P189"/>
    <mergeCell ref="G26:G27"/>
    <mergeCell ref="H14:H15"/>
    <mergeCell ref="G11:G12"/>
    <mergeCell ref="F137:F138"/>
    <mergeCell ref="F208:F209"/>
    <mergeCell ref="H137:H138"/>
    <mergeCell ref="M3"/>
    <mergeCell ref="G141:G142"/>
    <mergeCell ref="F280:F281"/>
    <mergeCell ref="F145:F146"/>
    <mergeCell ref="G42:G43"/>
    <mergeCell ref="F152:F154"/>
    <mergeCell ref="F139:F140"/>
    <mergeCell ref="P258:P259"/>
    <mergeCell ref="P121:P123"/>
    <mergeCell ref="P46:P47"/>
    <mergeCell ref="P292:P294"/>
    <mergeCell ref="P40:P41"/>
    <mergeCell ref="P282:P283"/>
    <mergeCell ref="H40:H41"/>
    <mergeCell ref="F282:F283"/>
    <mergeCell ref="F76:F77"/>
    <mergeCell ref="G166:G167"/>
    <mergeCell ref="F51:F52"/>
    <mergeCell ref="H51:H52"/>
    <mergeCell ref="G108:G109"/>
    <mergeCell ref="G24:G25"/>
    <mergeCell ref="G95:G96"/>
    <mergeCell ref="G266:G267"/>
    <mergeCell ref="P106:P107"/>
    <mergeCell ref="P277:P278"/>
    <mergeCell ref="F63:F65"/>
    <mergeCell ref="H63:H65"/>
    <mergeCell ref="L3"/>
    <mergeCell ref="F292:F294"/>
    <mergeCell ref="P180:P181"/>
    <mergeCell ref="F290:F291"/>
    <mergeCell ref="F275:F276"/>
    <mergeCell ref="P117:P118"/>
    <mergeCell ref="P55:P56"/>
    <mergeCell ref="G159:G160"/>
    <mergeCell ref="F256:F257"/>
    <mergeCell ref="H256:H257"/>
    <mergeCell ref="P280:P281"/>
    <mergeCell ref="H35:H36"/>
    <mergeCell ref="F193:F194"/>
    <mergeCell ref="P119:P120"/>
    <mergeCell ref="H193:H194"/>
    <mergeCell ref="P197:P199"/>
    <mergeCell ref="P246:P247"/>
    <mergeCell ref="G121:G123"/>
    <mergeCell ref="G253:G254"/>
    <mergeCell ref="H270:H271"/>
    <mergeCell ref="G63:G65"/>
    <mergeCell ref="G197:G199"/>
    <mergeCell ref="H46:H47"/>
    <mergeCell ref="P208:P209"/>
    <mergeCell ref="H282:H283"/>
    <mergeCell ref="F159:F160"/>
    <mergeCell ref="G14:G15"/>
    <mergeCell ref="G256:G257"/>
    <mergeCell ref="P210:P211"/>
    <mergeCell ref="P66:P67"/>
    <mergeCell ref="P137:P138"/>
    <mergeCell ref="F242:F244"/>
    <mergeCell ref="F82:F83"/>
    <mergeCell ref="H204:H205"/>
    <mergeCell ref="P139:P140"/>
    <mergeCell ref="G32:G33"/>
    <mergeCell ref="H275:H276"/>
    <mergeCell ref="P114:P115"/>
    <mergeCell ref="H141:H142"/>
    <mergeCell ref="H135:H136"/>
    <mergeCell ref="G46:G47"/>
    <mergeCell ref="F143:F144"/>
    <mergeCell ref="G40:G41"/>
    <mergeCell ref="H143:H144"/>
    <mergeCell ref="G282:G283"/>
    <mergeCell ref="L9"/>
    <mergeCell ref="N3:N4"/>
    <mergeCell ref="F3:F4"/>
    <mergeCell ref="P59:P60"/>
    <mergeCell ref="F59:F60"/>
    <mergeCell ref="F108:F109"/>
    <mergeCell ref="H59:H60"/>
    <mergeCell ref="F95:F96"/>
    <mergeCell ref="P21:P22"/>
    <mergeCell ref="F214:F215"/>
    <mergeCell ref="P238:P239"/>
    <mergeCell ref="P61:P62"/>
    <mergeCell ref="H61:H62"/>
    <mergeCell ref="F26:F27"/>
    <mergeCell ref="H159:H160"/>
    <mergeCell ref="H128:H129"/>
    <mergeCell ref="P69:P71"/>
    <mergeCell ref="P233:P234"/>
    <mergeCell ref="H273:H274"/>
    <mergeCell ref="G35:G36"/>
    <mergeCell ref="G193:G194"/>
    <mergeCell ref="F212:F213"/>
    <mergeCell ref="P76:P77"/>
    <mergeCell ref="H212:H213"/>
    <mergeCell ref="F121:F123"/>
    <mergeCell ref="G101:G102"/>
    <mergeCell ref="F40:F41"/>
    <mergeCell ref="P51:P52"/>
    <mergeCell ref="G117:G118"/>
    <mergeCell ref="F164:F165"/>
    <mergeCell ref="H164:H165"/>
    <mergeCell ref="H49:H50"/>
    <mergeCell ref="P11:P12"/>
    <mergeCell ref="P204:P205"/>
    <mergeCell ref="G242:G244"/>
    <mergeCell ref="G112:G113"/>
    <mergeCell ref="G204:G205"/>
    <mergeCell ref="H238:H239"/>
    <mergeCell ref="G275:G276"/>
    <mergeCell ref="G114:G115"/>
    <mergeCell ref="F180:F181"/>
    <mergeCell ref="G212:G213"/>
    <mergeCell ref="F240:F241"/>
    <mergeCell ref="G277:G278"/>
    <mergeCell ref="F46:F47"/>
    <mergeCell ref="F117:F118"/>
    <mergeCell ref="G270:G271"/>
    <mergeCell ref="K3:K4"/>
    <mergeCell ref="C3:C4"/>
    <mergeCell ref="H104:H105"/>
    <mergeCell ref="P235:P236"/>
    <mergeCell ref="E3:E4"/>
    <mergeCell ref="P128:P129"/>
    <mergeCell ref="H106:H107"/>
    <mergeCell ref="P299:P300"/>
    <mergeCell ref="G61:G62"/>
    <mergeCell ref="F233:F234"/>
    <mergeCell ref="P159:P160"/>
    <mergeCell ref="P242:P244"/>
    <mergeCell ref="F297:F298"/>
    <mergeCell ref="F235:F236"/>
    <mergeCell ref="N5:S9"/>
    <mergeCell ref="H297:H298"/>
    <mergeCell ref="F66:F67"/>
    <mergeCell ref="P253:P254"/>
    <mergeCell ref="H57:H58"/>
    <mergeCell ref="F155:F156"/>
    <mergeCell ref="P63:P65"/>
    <mergeCell ref="P141:P142"/>
    <mergeCell ref="H155:H156"/>
    <mergeCell ref="F197:F199"/>
    <mergeCell ref="H197:H199"/>
    <mergeCell ref="P212:P213"/>
    <mergeCell ref="P143:P144"/>
    <mergeCell ref="B2:E2"/>
    <mergeCell ref="H101:H102"/>
    <mergeCell ref="P14:P15"/>
    <mergeCell ref="G214:G215"/>
    <mergeCell ref="P108:P109"/>
    <mergeCell ref="P231:P232"/>
    <mergeCell ref="G164:G165"/>
    <mergeCell ref="F119:F120"/>
    <mergeCell ref="F246:F247"/>
    <mergeCell ref="G57:G58"/>
    <mergeCell ref="G184:G185"/>
    <mergeCell ref="H112:H113"/>
    <mergeCell ref="F114:F115"/>
    <mergeCell ref="H114:H115"/>
    <mergeCell ref="H248:H250"/>
    <mergeCell ref="H178:H179"/>
    <mergeCell ref="G133:G134"/>
    <mergeCell ref="G135:G136"/>
    <mergeCell ref="P104:P105"/>
    <mergeCell ref="G248:G250"/>
    <mergeCell ref="P164:P165"/>
    <mergeCell ref="P256:P257"/>
  </mergeCells>
  <conditionalFormatting sqref="M10:M5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"NI"</formula>
    </cfRule>
    <cfRule type="cellIs" priority="4" operator="equal" dxfId="3">
      <formula>"Blocked"</formula>
    </cfRule>
  </conditionalFormatting>
  <conditionalFormatting sqref="L10:L500">
    <cfRule type="cellIs" priority="5" operator="equal" dxfId="0">
      <formula>"Pass"</formula>
    </cfRule>
    <cfRule type="cellIs" priority="6" operator="equal" dxfId="1">
      <formula>"Fail"</formula>
    </cfRule>
    <cfRule type="cellIs" priority="7" operator="equal" dxfId="2">
      <formula>"NI"</formula>
    </cfRule>
    <cfRule type="cellIs" priority="8" operator="equal" dxfId="3">
      <formula>"Blocked"</formula>
    </cfRule>
  </conditionalFormatting>
  <conditionalFormatting sqref="K10:K500">
    <cfRule type="cellIs" priority="9" operator="equal" dxfId="1">
      <formula>"High"</formula>
    </cfRule>
    <cfRule type="cellIs" priority="10" operator="equal" dxfId="4">
      <formula>"Medium"</formula>
    </cfRule>
    <cfRule type="cellIs" priority="11" operator="equal" dxfId="2">
      <formula>"Low"</formula>
    </cfRule>
  </conditionalFormatting>
  <dataValidations count="4">
    <dataValidation sqref="M10:M500" showDropDown="0" showInputMessage="0" showErrorMessage="0" allowBlank="1" type="list">
      <formula1>"Pass,Fail,NI,Blocked"</formula1>
    </dataValidation>
    <dataValidation sqref="K10:K500" showDropDown="0" showInputMessage="0" showErrorMessage="0" allowBlank="1" type="list">
      <formula1>"High,Medium,Low"</formula1>
    </dataValidation>
    <dataValidation sqref="J10:J500" showDropDown="0" showInputMessage="0" showErrorMessage="0" allowBlank="1" type="list">
      <formula1>"자동화 전용,공통,사람 전용"</formula1>
    </dataValidation>
    <dataValidation sqref="R10:R500" showDropDown="0" showInputMessage="0" showErrorMessage="0" allowBlank="1" type="list">
      <formula1>"결정적,확률적,루브릭,금칙"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2" ht="19" customHeight="1">
      <c r="B2" s="177" t="inlineStr">
        <is>
          <t>커버리지 요약</t>
        </is>
      </c>
    </row>
    <row r="3">
      <c r="B3" s="178" t="inlineStr">
        <is>
          <t>Test Case 시트를 참조하는 수식으로 자동 집계됩니다. 행을 추가하면 아래 범위를 넓히세요.</t>
        </is>
      </c>
    </row>
    <row r="4">
      <c r="B4" s="179" t="inlineStr">
        <is>
          <t>기준 골격 버전</t>
        </is>
      </c>
      <c r="C4" s="180" t="inlineStr">
        <is>
          <t>qa-lab-miyonchat-tree-v1.13</t>
        </is>
      </c>
      <c r="D4" s="181" t="n"/>
      <c r="E4" s="181" t="n"/>
    </row>
    <row r="5">
      <c r="B5" s="182" t="inlineStr">
        <is>
          <t>1-Depth (영역)</t>
        </is>
      </c>
      <c r="C5" s="182" t="inlineStr">
        <is>
          <t>TC 수</t>
        </is>
      </c>
      <c r="D5" s="182" t="inlineStr">
        <is>
          <t>Priority</t>
        </is>
      </c>
      <c r="E5" s="181" t="n"/>
      <c r="F5" s="181" t="n"/>
      <c r="G5" s="182" t="inlineStr">
        <is>
          <t>Web</t>
        </is>
      </c>
      <c r="H5" s="181" t="n"/>
      <c r="I5" s="181" t="n"/>
      <c r="J5" s="181" t="n"/>
      <c r="K5" s="181" t="n"/>
    </row>
    <row r="6">
      <c r="B6" s="181" t="n"/>
      <c r="C6" s="181" t="n"/>
      <c r="D6" s="183" t="inlineStr">
        <is>
          <t>High</t>
        </is>
      </c>
      <c r="E6" s="183" t="inlineStr">
        <is>
          <t>Medium</t>
        </is>
      </c>
      <c r="F6" s="183" t="inlineStr">
        <is>
          <t>Low</t>
        </is>
      </c>
      <c r="G6" s="183" t="inlineStr">
        <is>
          <t>Pass</t>
        </is>
      </c>
      <c r="H6" s="183" t="inlineStr">
        <is>
          <t>Fail</t>
        </is>
      </c>
      <c r="I6" s="183" t="inlineStr">
        <is>
          <t>Blocked</t>
        </is>
      </c>
      <c r="J6" s="183" t="inlineStr">
        <is>
          <t>Pass율</t>
        </is>
      </c>
      <c r="K6" s="181" t="n"/>
    </row>
    <row r="7">
      <c r="B7" s="184" t="inlineStr">
        <is>
          <t>웹 진입</t>
        </is>
      </c>
      <c r="C7" s="185">
        <f>COUNTIF('Test Case'!$C$10:$C$500,$B7)</f>
        <v/>
      </c>
      <c r="D7" s="185">
        <f>COUNTIFS('Test Case'!$C$10:$C$500,$B7,'Test Case'!$K$10:$K$500,"High")</f>
        <v/>
      </c>
      <c r="E7" s="185">
        <f>COUNTIFS('Test Case'!$C$10:$C$500,$B7,'Test Case'!$K$10:$K$500,"Medium")</f>
        <v/>
      </c>
      <c r="F7" s="185">
        <f>COUNTIFS('Test Case'!$C$10:$C$500,$B7,'Test Case'!$K$10:$K$500,"Low")</f>
        <v/>
      </c>
      <c r="G7" s="185">
        <f>COUNTIFS('Test Case'!$C$10:$C$500,$B7,'Test Case'!$M$10:$M$500,"Pass")</f>
        <v/>
      </c>
      <c r="H7" s="185">
        <f>COUNTIFS('Test Case'!$C$10:$C$500,$B7,'Test Case'!$M$10:$M$500,"Fail")</f>
        <v/>
      </c>
      <c r="I7" s="185">
        <f>COUNTIFS('Test Case'!$C$10:$C$500,$B7,'Test Case'!$M$10:$M$500,"Blocked")</f>
        <v/>
      </c>
      <c r="J7" s="186">
        <f>IF(G7+H7=0,"",G7/(G7+H7))</f>
        <v/>
      </c>
    </row>
    <row r="8">
      <c r="B8" s="184" t="inlineStr">
        <is>
          <t>전역 셸</t>
        </is>
      </c>
      <c r="C8" s="185">
        <f>COUNTIF('Test Case'!$C$10:$C$500,$B8)</f>
        <v/>
      </c>
      <c r="D8" s="185">
        <f>COUNTIFS('Test Case'!$C$10:$C$500,$B8,'Test Case'!$K$10:$K$500,"High")</f>
        <v/>
      </c>
      <c r="E8" s="185">
        <f>COUNTIFS('Test Case'!$C$10:$C$500,$B8,'Test Case'!$K$10:$K$500,"Medium")</f>
        <v/>
      </c>
      <c r="F8" s="185">
        <f>COUNTIFS('Test Case'!$C$10:$C$500,$B8,'Test Case'!$K$10:$K$500,"Low")</f>
        <v/>
      </c>
      <c r="G8" s="185">
        <f>COUNTIFS('Test Case'!$C$10:$C$500,$B8,'Test Case'!$M$10:$M$500,"Pass")</f>
        <v/>
      </c>
      <c r="H8" s="185">
        <f>COUNTIFS('Test Case'!$C$10:$C$500,$B8,'Test Case'!$M$10:$M$500,"Fail")</f>
        <v/>
      </c>
      <c r="I8" s="185">
        <f>COUNTIFS('Test Case'!$C$10:$C$500,$B8,'Test Case'!$M$10:$M$500,"Blocked")</f>
        <v/>
      </c>
      <c r="J8" s="186">
        <f>IF(G8+H8=0,"",G8/(G8+H8))</f>
        <v/>
      </c>
    </row>
    <row r="9">
      <c r="B9" s="184" t="inlineStr">
        <is>
          <t>홈 화면</t>
        </is>
      </c>
      <c r="C9" s="185">
        <f>COUNTIF('Test Case'!$C$10:$C$500,$B9)</f>
        <v/>
      </c>
      <c r="D9" s="185">
        <f>COUNTIFS('Test Case'!$C$10:$C$500,$B9,'Test Case'!$K$10:$K$500,"High")</f>
        <v/>
      </c>
      <c r="E9" s="185">
        <f>COUNTIFS('Test Case'!$C$10:$C$500,$B9,'Test Case'!$K$10:$K$500,"Medium")</f>
        <v/>
      </c>
      <c r="F9" s="185">
        <f>COUNTIFS('Test Case'!$C$10:$C$500,$B9,'Test Case'!$K$10:$K$500,"Low")</f>
        <v/>
      </c>
      <c r="G9" s="185">
        <f>COUNTIFS('Test Case'!$C$10:$C$500,$B9,'Test Case'!$M$10:$M$500,"Pass")</f>
        <v/>
      </c>
      <c r="H9" s="185">
        <f>COUNTIFS('Test Case'!$C$10:$C$500,$B9,'Test Case'!$M$10:$M$500,"Fail")</f>
        <v/>
      </c>
      <c r="I9" s="185">
        <f>COUNTIFS('Test Case'!$C$10:$C$500,$B9,'Test Case'!$M$10:$M$500,"Blocked")</f>
        <v/>
      </c>
      <c r="J9" s="186">
        <f>IF(G9+H9=0,"",G9/(G9+H9))</f>
        <v/>
      </c>
    </row>
    <row r="10">
      <c r="B10" s="184" t="inlineStr">
        <is>
          <t>캐릭터 페이지</t>
        </is>
      </c>
      <c r="C10" s="185">
        <f>COUNTIF('Test Case'!$C$10:$C$500,$B10)</f>
        <v/>
      </c>
      <c r="D10" s="185">
        <f>COUNTIFS('Test Case'!$C$10:$C$500,$B10,'Test Case'!$K$10:$K$500,"High")</f>
        <v/>
      </c>
      <c r="E10" s="185">
        <f>COUNTIFS('Test Case'!$C$10:$C$500,$B10,'Test Case'!$K$10:$K$500,"Medium")</f>
        <v/>
      </c>
      <c r="F10" s="185">
        <f>COUNTIFS('Test Case'!$C$10:$C$500,$B10,'Test Case'!$K$10:$K$500,"Low")</f>
        <v/>
      </c>
      <c r="G10" s="185">
        <f>COUNTIFS('Test Case'!$C$10:$C$500,$B10,'Test Case'!$M$10:$M$500,"Pass")</f>
        <v/>
      </c>
      <c r="H10" s="185">
        <f>COUNTIFS('Test Case'!$C$10:$C$500,$B10,'Test Case'!$M$10:$M$500,"Fail")</f>
        <v/>
      </c>
      <c r="I10" s="185">
        <f>COUNTIFS('Test Case'!$C$10:$C$500,$B10,'Test Case'!$M$10:$M$500,"Blocked")</f>
        <v/>
      </c>
      <c r="J10" s="186">
        <f>IF(G10+H10=0,"",G10/(G10+H10))</f>
        <v/>
      </c>
    </row>
    <row r="11">
      <c r="B11" s="184" t="inlineStr">
        <is>
          <t>대화 프로필 화면</t>
        </is>
      </c>
      <c r="C11" s="185">
        <f>COUNTIF('Test Case'!$C$10:$C$500,$B11)</f>
        <v/>
      </c>
      <c r="D11" s="185">
        <f>COUNTIFS('Test Case'!$C$10:$C$500,$B11,'Test Case'!$K$10:$K$500,"High")</f>
        <v/>
      </c>
      <c r="E11" s="185">
        <f>COUNTIFS('Test Case'!$C$10:$C$500,$B11,'Test Case'!$K$10:$K$500,"Medium")</f>
        <v/>
      </c>
      <c r="F11" s="185">
        <f>COUNTIFS('Test Case'!$C$10:$C$500,$B11,'Test Case'!$K$10:$K$500,"Low")</f>
        <v/>
      </c>
      <c r="G11" s="185">
        <f>COUNTIFS('Test Case'!$C$10:$C$500,$B11,'Test Case'!$M$10:$M$500,"Pass")</f>
        <v/>
      </c>
      <c r="H11" s="185">
        <f>COUNTIFS('Test Case'!$C$10:$C$500,$B11,'Test Case'!$M$10:$M$500,"Fail")</f>
        <v/>
      </c>
      <c r="I11" s="185">
        <f>COUNTIFS('Test Case'!$C$10:$C$500,$B11,'Test Case'!$M$10:$M$500,"Blocked")</f>
        <v/>
      </c>
      <c r="J11" s="186">
        <f>IF(G11+H11=0,"",G11/(G11+H11))</f>
        <v/>
      </c>
    </row>
    <row r="12">
      <c r="B12" s="184" t="inlineStr">
        <is>
          <t>대화방</t>
        </is>
      </c>
      <c r="C12" s="185">
        <f>COUNTIF('Test Case'!$C$10:$C$500,$B12)</f>
        <v/>
      </c>
      <c r="D12" s="185">
        <f>COUNTIFS('Test Case'!$C$10:$C$500,$B12,'Test Case'!$K$10:$K$500,"High")</f>
        <v/>
      </c>
      <c r="E12" s="185">
        <f>COUNTIFS('Test Case'!$C$10:$C$500,$B12,'Test Case'!$K$10:$K$500,"Medium")</f>
        <v/>
      </c>
      <c r="F12" s="185">
        <f>COUNTIFS('Test Case'!$C$10:$C$500,$B12,'Test Case'!$K$10:$K$500,"Low")</f>
        <v/>
      </c>
      <c r="G12" s="185">
        <f>COUNTIFS('Test Case'!$C$10:$C$500,$B12,'Test Case'!$M$10:$M$500,"Pass")</f>
        <v/>
      </c>
      <c r="H12" s="185">
        <f>COUNTIFS('Test Case'!$C$10:$C$500,$B12,'Test Case'!$M$10:$M$500,"Fail")</f>
        <v/>
      </c>
      <c r="I12" s="185">
        <f>COUNTIFS('Test Case'!$C$10:$C$500,$B12,'Test Case'!$M$10:$M$500,"Blocked")</f>
        <v/>
      </c>
      <c r="J12" s="186">
        <f>IF(G12+H12=0,"",G12/(G12+H12))</f>
        <v/>
      </c>
    </row>
    <row r="13">
      <c r="B13" s="184" t="inlineStr">
        <is>
          <t>채팅 탭</t>
        </is>
      </c>
      <c r="C13" s="185">
        <f>COUNTIF('Test Case'!$C$10:$C$500,$B13)</f>
        <v/>
      </c>
      <c r="D13" s="185">
        <f>COUNTIFS('Test Case'!$C$10:$C$500,$B13,'Test Case'!$K$10:$K$500,"High")</f>
        <v/>
      </c>
      <c r="E13" s="185">
        <f>COUNTIFS('Test Case'!$C$10:$C$500,$B13,'Test Case'!$K$10:$K$500,"Medium")</f>
        <v/>
      </c>
      <c r="F13" s="185">
        <f>COUNTIFS('Test Case'!$C$10:$C$500,$B13,'Test Case'!$K$10:$K$500,"Low")</f>
        <v/>
      </c>
      <c r="G13" s="185">
        <f>COUNTIFS('Test Case'!$C$10:$C$500,$B13,'Test Case'!$M$10:$M$500,"Pass")</f>
        <v/>
      </c>
      <c r="H13" s="185">
        <f>COUNTIFS('Test Case'!$C$10:$C$500,$B13,'Test Case'!$M$10:$M$500,"Fail")</f>
        <v/>
      </c>
      <c r="I13" s="185">
        <f>COUNTIFS('Test Case'!$C$10:$C$500,$B13,'Test Case'!$M$10:$M$500,"Blocked")</f>
        <v/>
      </c>
      <c r="J13" s="186">
        <f>IF(G13+H13=0,"",G13/(G13+H13))</f>
        <v/>
      </c>
    </row>
    <row r="14">
      <c r="B14" s="184" t="inlineStr">
        <is>
          <t>MY 탭</t>
        </is>
      </c>
      <c r="C14" s="185">
        <f>COUNTIF('Test Case'!$C$10:$C$500,$B14)</f>
        <v/>
      </c>
      <c r="D14" s="185">
        <f>COUNTIFS('Test Case'!$C$10:$C$500,$B14,'Test Case'!$K$10:$K$500,"High")</f>
        <v/>
      </c>
      <c r="E14" s="185">
        <f>COUNTIFS('Test Case'!$C$10:$C$500,$B14,'Test Case'!$K$10:$K$500,"Medium")</f>
        <v/>
      </c>
      <c r="F14" s="185">
        <f>COUNTIFS('Test Case'!$C$10:$C$500,$B14,'Test Case'!$K$10:$K$500,"Low")</f>
        <v/>
      </c>
      <c r="G14" s="185">
        <f>COUNTIFS('Test Case'!$C$10:$C$500,$B14,'Test Case'!$M$10:$M$500,"Pass")</f>
        <v/>
      </c>
      <c r="H14" s="185">
        <f>COUNTIFS('Test Case'!$C$10:$C$500,$B14,'Test Case'!$M$10:$M$500,"Fail")</f>
        <v/>
      </c>
      <c r="I14" s="185">
        <f>COUNTIFS('Test Case'!$C$10:$C$500,$B14,'Test Case'!$M$10:$M$500,"Blocked")</f>
        <v/>
      </c>
      <c r="J14" s="186">
        <f>IF(G14+H14=0,"",G14/(G14+H14))</f>
        <v/>
      </c>
    </row>
    <row r="15">
      <c r="B15" s="184" t="inlineStr">
        <is>
          <t>재화</t>
        </is>
      </c>
      <c r="C15" s="185">
        <f>COUNTIF('Test Case'!$C$10:$C$500,$B15)</f>
        <v/>
      </c>
      <c r="D15" s="185">
        <f>COUNTIFS('Test Case'!$C$10:$C$500,$B15,'Test Case'!$K$10:$K$500,"High")</f>
        <v/>
      </c>
      <c r="E15" s="185">
        <f>COUNTIFS('Test Case'!$C$10:$C$500,$B15,'Test Case'!$K$10:$K$500,"Medium")</f>
        <v/>
      </c>
      <c r="F15" s="185">
        <f>COUNTIFS('Test Case'!$C$10:$C$500,$B15,'Test Case'!$K$10:$K$500,"Low")</f>
        <v/>
      </c>
      <c r="G15" s="185">
        <f>COUNTIFS('Test Case'!$C$10:$C$500,$B15,'Test Case'!$M$10:$M$500,"Pass")</f>
        <v/>
      </c>
      <c r="H15" s="185">
        <f>COUNTIFS('Test Case'!$C$10:$C$500,$B15,'Test Case'!$M$10:$M$500,"Fail")</f>
        <v/>
      </c>
      <c r="I15" s="185">
        <f>COUNTIFS('Test Case'!$C$10:$C$500,$B15,'Test Case'!$M$10:$M$500,"Blocked")</f>
        <v/>
      </c>
      <c r="J15" s="186">
        <f>IF(G15+H15=0,"",G15/(G15+H15))</f>
        <v/>
      </c>
    </row>
    <row r="16">
      <c r="B16" s="184" t="inlineStr">
        <is>
          <t>스텁·정적</t>
        </is>
      </c>
      <c r="C16" s="185">
        <f>COUNTIF('Test Case'!$C$10:$C$500,$B16)</f>
        <v/>
      </c>
      <c r="D16" s="185">
        <f>COUNTIFS('Test Case'!$C$10:$C$500,$B16,'Test Case'!$K$10:$K$500,"High")</f>
        <v/>
      </c>
      <c r="E16" s="185">
        <f>COUNTIFS('Test Case'!$C$10:$C$500,$B16,'Test Case'!$K$10:$K$500,"Medium")</f>
        <v/>
      </c>
      <c r="F16" s="185">
        <f>COUNTIFS('Test Case'!$C$10:$C$500,$B16,'Test Case'!$K$10:$K$500,"Low")</f>
        <v/>
      </c>
      <c r="G16" s="185">
        <f>COUNTIFS('Test Case'!$C$10:$C$500,$B16,'Test Case'!$M$10:$M$500,"Pass")</f>
        <v/>
      </c>
      <c r="H16" s="185">
        <f>COUNTIFS('Test Case'!$C$10:$C$500,$B16,'Test Case'!$M$10:$M$500,"Fail")</f>
        <v/>
      </c>
      <c r="I16" s="185">
        <f>COUNTIFS('Test Case'!$C$10:$C$500,$B16,'Test Case'!$M$10:$M$500,"Blocked")</f>
        <v/>
      </c>
      <c r="J16" s="186">
        <f>IF(G16+H16=0,"",G16/(G16+H16))</f>
        <v/>
      </c>
    </row>
    <row r="17">
      <c r="B17" s="187" t="inlineStr">
        <is>
          <t>합계</t>
        </is>
      </c>
      <c r="C17" s="188">
        <f>SUM(C7:C16)</f>
        <v/>
      </c>
      <c r="D17" s="188">
        <f>SUM(D7:D16)</f>
        <v/>
      </c>
      <c r="E17" s="188">
        <f>SUM(E7:E16)</f>
        <v/>
      </c>
      <c r="F17" s="188">
        <f>SUM(F7:F16)</f>
        <v/>
      </c>
      <c r="G17" s="188">
        <f>SUM(G7:G16)</f>
        <v/>
      </c>
      <c r="H17" s="188">
        <f>SUM(H7:H16)</f>
        <v/>
      </c>
      <c r="I17" s="188">
        <f>SUM(I7:I16)</f>
        <v/>
      </c>
      <c r="J17" s="189">
        <f>IF(G17+H17=0,"",G17/(G17+H17))</f>
        <v/>
      </c>
      <c r="K17" s="188">
        <f>SUM(K7:K16)</f>
        <v/>
      </c>
    </row>
    <row r="19">
      <c r="B19" s="178" t="inlineStr">
        <is>
          <t>TC 수 = 스텝 행 수(1-Depth 기준) · Pass/Fail/Blocked도 같은 행 단위(Result 열) · Pass율 = Pass ÷ (Pass + Fail) — NI·Blocked는 분모에서 제외합니다</t>
        </is>
      </c>
    </row>
  </sheetData>
  <mergeCells count="5">
    <mergeCell ref="D5:F5"/>
    <mergeCell ref="C4:E4"/>
    <mergeCell ref="G5:J5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U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13" customWidth="1" min="3" max="3"/>
    <col width="12" customWidth="1" min="4" max="4"/>
    <col width="46" customWidth="1" min="5" max="5"/>
    <col width="50" customWidth="1" min="6" max="6"/>
    <col width="9" customWidth="1" min="7" max="7"/>
    <col width="10" customWidth="1" min="8" max="8"/>
    <col width="17" customWidth="1" min="9" max="9"/>
    <col width="17" customWidth="1" min="10" max="10"/>
    <col width="16" customWidth="1" min="11" max="11"/>
    <col width="8" customWidth="1" min="12" max="12"/>
    <col width="16" customWidth="1" min="13" max="13"/>
    <col width="9" customWidth="1" min="14" max="14"/>
    <col width="10" customWidth="1" min="15" max="15"/>
    <col width="12" customWidth="1" min="16" max="16"/>
    <col width="10" customWidth="1" min="17" max="17"/>
    <col width="13" customWidth="1" min="18" max="18"/>
    <col width="12" customWidth="1" min="19" max="19"/>
    <col width="14" customWidth="1" min="20" max="20"/>
    <col width="15" customWidth="1" min="21" max="21"/>
  </cols>
  <sheetData>
    <row r="2" ht="30" customHeight="1">
      <c r="B2" s="190" t="inlineStr">
        <is>
          <t>프로젝트 ID</t>
        </is>
      </c>
      <c r="C2" s="190" t="inlineStr">
        <is>
          <t>Issue No.</t>
        </is>
      </c>
      <c r="D2" s="190" t="inlineStr">
        <is>
          <t>이슈 상태</t>
        </is>
      </c>
      <c r="E2" s="190" t="inlineStr">
        <is>
          <t>요약(Summary)</t>
        </is>
      </c>
      <c r="F2" s="190" t="inlineStr">
        <is>
          <t>설명</t>
        </is>
      </c>
      <c r="G2" s="190" t="inlineStr">
        <is>
          <t>우선순위</t>
        </is>
      </c>
      <c r="H2" s="190" t="inlineStr">
        <is>
          <t>빈도</t>
        </is>
      </c>
      <c r="I2" s="190" t="inlineStr">
        <is>
          <t>영향 받는 버전</t>
        </is>
      </c>
      <c r="J2" s="190" t="inlineStr">
        <is>
          <t>수정 버전</t>
        </is>
      </c>
      <c r="K2" s="190" t="inlineStr">
        <is>
          <t>해결책</t>
        </is>
      </c>
      <c r="L2" s="190" t="inlineStr">
        <is>
          <t>환경</t>
        </is>
      </c>
      <c r="M2" s="190" t="inlineStr">
        <is>
          <t>레이블</t>
        </is>
      </c>
      <c r="N2" s="190" t="inlineStr">
        <is>
          <t>보고자</t>
        </is>
      </c>
      <c r="O2" s="190" t="inlineStr">
        <is>
          <t>담당자</t>
        </is>
      </c>
      <c r="P2" s="190" t="inlineStr">
        <is>
          <t>관측자</t>
        </is>
      </c>
      <c r="Q2" s="190" t="inlineStr">
        <is>
          <t>첨부파일</t>
        </is>
      </c>
      <c r="R2" s="190" t="inlineStr">
        <is>
          <t>스프린트</t>
        </is>
      </c>
      <c r="S2" s="190" t="inlineStr">
        <is>
          <t>이슈 등록일</t>
        </is>
      </c>
      <c r="T2" s="190" t="inlineStr">
        <is>
          <t>이슈 최종 수정일자</t>
        </is>
      </c>
      <c r="U2" s="190" t="inlineStr">
        <is>
          <t>이슈 상태 최종 변경일자</t>
        </is>
      </c>
    </row>
    <row r="3">
      <c r="B3" s="191" t="inlineStr">
        <is>
          <t>miyonchat</t>
        </is>
      </c>
      <c r="C3" s="191" t="inlineStr">
        <is>
          <t>miyonchat-1</t>
        </is>
      </c>
      <c r="D3" s="191" t="inlineStr">
        <is>
          <t>Resolved</t>
        </is>
      </c>
      <c r="E3" s="192" t="inlineStr">
        <is>
          <t>디버그 콘솔 &gt; 전체 초기화(reset) 수행 &gt; 계정 A 로그인 시, 성인 인증이 해제된 상태로 시작됨</t>
        </is>
      </c>
      <c r="F3" s="192" t="inlineStr">
        <is>
          <t>Pre-condition: SUT 진입
Reproduce Step: 디버그 콘솔 열기 &gt; [전체 초기화] 선택 &gt; 계정 A로 로그인 &gt; 간편 프로필 확인
Actual Result: "성인 미인증"으로 표시되고 언세이프 게이트가 열리지 않음
Expected Result: 계정 A는 기본값이 성인 인증 완료이므로 "성인 인증 완료"로 표시되어야 함
QA Comment: 계정 상태 생성 함수에 계정 식별자를 전달하지 않아 기본값 판정이 항상 거짓이 됨. 자동화가 매 테스트 전 reset()을 호출하는 구조라, 남아 있으면 게이팅 계열 TC 전체가 미인증 상태에서 실행되어 결과를 신뢰할 수 없음</t>
        </is>
      </c>
      <c r="G3" s="191" t="inlineStr">
        <is>
          <t>High</t>
        </is>
      </c>
      <c r="H3" s="191" t="inlineStr">
        <is>
          <t>Always</t>
        </is>
      </c>
      <c r="I3" s="191" t="inlineStr">
        <is>
          <t>PC웹_Ver1.0_Dev_RC1</t>
        </is>
      </c>
      <c r="J3" s="191" t="inlineStr">
        <is>
          <t>PC웹_Ver1.0_Dev_RC2</t>
        </is>
      </c>
      <c r="K3" s="191" t="inlineStr">
        <is>
          <t>Fixed</t>
        </is>
      </c>
      <c r="L3" s="191" t="inlineStr">
        <is>
          <t>PC웹</t>
        </is>
      </c>
      <c r="M3" s="191" t="inlineStr">
        <is>
          <t>계정/게이팅</t>
        </is>
      </c>
      <c r="N3" s="191" t="inlineStr">
        <is>
          <t>정준호</t>
        </is>
      </c>
      <c r="O3" s="191" t="inlineStr">
        <is>
          <t>Claude Opus 5</t>
        </is>
      </c>
      <c r="P3" s="191" t="inlineStr"/>
      <c r="Q3" s="191" t="inlineStr"/>
      <c r="R3" s="191" t="inlineStr">
        <is>
          <t>PC웹_Ver1.0_Dev</t>
        </is>
      </c>
      <c r="S3" s="191" t="inlineStr">
        <is>
          <t>2026-08-02</t>
        </is>
      </c>
      <c r="T3" s="191" t="inlineStr">
        <is>
          <t>2026-08-02</t>
        </is>
      </c>
      <c r="U3" s="191" t="inlineStr">
        <is>
          <t>2026-08-02</t>
        </is>
      </c>
    </row>
  </sheetData>
  <autoFilter ref="B2:U3"/>
  <conditionalFormatting sqref="D3:D200">
    <cfRule type="cellIs" priority="1" operator="equal" dxfId="5">
      <formula>"Open"</formula>
    </cfRule>
    <cfRule type="cellIs" priority="2" operator="equal" dxfId="6">
      <formula>"In Progress"</formula>
    </cfRule>
    <cfRule type="cellIs" priority="3" operator="equal" dxfId="7">
      <formula>"Resolved"</formula>
    </cfRule>
    <cfRule type="cellIs" priority="4" operator="equal" dxfId="5">
      <formula>"Reopen"</formula>
    </cfRule>
    <cfRule type="cellIs" priority="5" operator="equal" dxfId="8">
      <formula>"Closed"</formula>
    </cfRule>
  </conditionalFormatting>
  <conditionalFormatting sqref="G3:G200">
    <cfRule type="cellIs" priority="6" operator="equal" dxfId="9">
      <formula>"High"</formula>
    </cfRule>
    <cfRule type="cellIs" priority="7" operator="equal" dxfId="10">
      <formula>"Medium"</formula>
    </cfRule>
    <cfRule type="cellIs" priority="8" operator="equal" dxfId="8">
      <formula>"Low"</formula>
    </cfRule>
  </conditionalFormatting>
  <dataValidations count="12">
    <dataValidation sqref="B3:B200" showDropDown="0" showInputMessage="0" showErrorMessage="0" allowBlank="1" type="list">
      <formula1>list_project</formula1>
    </dataValidation>
    <dataValidation sqref="D3:D200" showDropDown="0" showInputMessage="0" showErrorMessage="0" allowBlank="1" type="list">
      <formula1>list_status</formula1>
    </dataValidation>
    <dataValidation sqref="G3:G200" showDropDown="0" showInputMessage="0" showErrorMessage="0" allowBlank="1" type="list">
      <formula1>list_priority</formula1>
    </dataValidation>
    <dataValidation sqref="H3:H200" showDropDown="0" showInputMessage="0" showErrorMessage="0" allowBlank="1" type="list">
      <formula1>list_frequency</formula1>
    </dataValidation>
    <dataValidation sqref="I3:I200" showDropDown="0" showInputMessage="0" showErrorMessage="0" allowBlank="1" type="list">
      <formula1>list_version</formula1>
    </dataValidation>
    <dataValidation sqref="J3:J200" showDropDown="0" showInputMessage="0" showErrorMessage="0" allowBlank="1" type="list">
      <formula1>list_version</formula1>
    </dataValidation>
    <dataValidation sqref="K3:K200" showDropDown="0" showInputMessage="0" showErrorMessage="0" allowBlank="1" type="list">
      <formula1>list_resolution</formula1>
    </dataValidation>
    <dataValidation sqref="L3:L200" showDropDown="0" showInputMessage="0" showErrorMessage="0" allowBlank="1" type="list">
      <formula1>list_env</formula1>
    </dataValidation>
    <dataValidation sqref="M3:M200" showDropDown="0" showInputMessage="0" showErrorMessage="0" allowBlank="1" type="list">
      <formula1>list_label</formula1>
    </dataValidation>
    <dataValidation sqref="N3:N200" showDropDown="0" showInputMessage="0" showErrorMessage="0" allowBlank="1" type="list">
      <formula1>list_reporter</formula1>
    </dataValidation>
    <dataValidation sqref="O3:O200" showDropDown="0" showInputMessage="0" showErrorMessage="0" allowBlank="1" type="list">
      <formula1>list_assignee</formula1>
    </dataValidation>
    <dataValidation sqref="R3:R200" showDropDown="0" showInputMessage="0" showErrorMessage="0" allowBlank="1" type="list">
      <formula1>list_sprint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22" customWidth="1" min="8" max="8"/>
    <col width="20" customWidth="1" min="9" max="9"/>
    <col width="14" customWidth="1" min="10" max="10"/>
    <col width="14" customWidth="1" min="11" max="11"/>
    <col width="14" customWidth="1" min="12" max="12"/>
    <col width="17" customWidth="1" min="13" max="13"/>
    <col width="18" customWidth="1" min="14" max="14"/>
  </cols>
  <sheetData>
    <row r="2">
      <c r="B2" s="193" t="inlineStr">
        <is>
          <t>프로젝트</t>
        </is>
      </c>
      <c r="C2" s="193" t="inlineStr">
        <is>
          <t>실행 주체</t>
        </is>
      </c>
      <c r="D2" s="193" t="inlineStr">
        <is>
          <t>상태</t>
        </is>
      </c>
      <c r="E2" s="193" t="inlineStr">
        <is>
          <t>이슈 상태</t>
        </is>
      </c>
      <c r="F2" s="193" t="inlineStr">
        <is>
          <t>우선순위</t>
        </is>
      </c>
      <c r="G2" s="193" t="inlineStr">
        <is>
          <t>빈도</t>
        </is>
      </c>
      <c r="H2" s="193" t="inlineStr">
        <is>
          <t>버전(영향/수정 공용)</t>
        </is>
      </c>
      <c r="I2" s="193" t="inlineStr">
        <is>
          <t>해결책</t>
        </is>
      </c>
      <c r="J2" s="193" t="inlineStr">
        <is>
          <t>환경</t>
        </is>
      </c>
      <c r="K2" s="193" t="inlineStr">
        <is>
          <t>레이블</t>
        </is>
      </c>
      <c r="L2" s="193" t="inlineStr">
        <is>
          <t>보고자</t>
        </is>
      </c>
      <c r="M2" s="193" t="inlineStr">
        <is>
          <t>담당자</t>
        </is>
      </c>
      <c r="N2" s="193" t="inlineStr">
        <is>
          <t>스프린트</t>
        </is>
      </c>
    </row>
    <row r="3">
      <c r="B3" s="194" t="inlineStr">
        <is>
          <t>miyonchat</t>
        </is>
      </c>
      <c r="C3" s="194" t="inlineStr">
        <is>
          <t>자동화 전용</t>
        </is>
      </c>
      <c r="D3" s="194" t="inlineStr">
        <is>
          <t>미로그인</t>
        </is>
      </c>
      <c r="E3" s="194" t="inlineStr">
        <is>
          <t>Open</t>
        </is>
      </c>
      <c r="F3" s="194" t="inlineStr">
        <is>
          <t>High</t>
        </is>
      </c>
      <c r="G3" s="194" t="inlineStr">
        <is>
          <t>Always</t>
        </is>
      </c>
      <c r="H3" s="194" t="inlineStr">
        <is>
          <t>PC웹_Ver1.0_Dev_RC1</t>
        </is>
      </c>
      <c r="I3" s="194" t="inlineStr">
        <is>
          <t>Fixed</t>
        </is>
      </c>
      <c r="J3" s="194" t="inlineStr">
        <is>
          <t>PC웹</t>
        </is>
      </c>
      <c r="K3" s="194" t="inlineStr">
        <is>
          <t>앱 진입/세션</t>
        </is>
      </c>
      <c r="L3" s="194" t="inlineStr">
        <is>
          <t>정준호</t>
        </is>
      </c>
      <c r="M3" s="194" t="inlineStr">
        <is>
          <t>Claude Opus 5</t>
        </is>
      </c>
      <c r="N3" s="194" t="inlineStr">
        <is>
          <t>PC웹_Ver1.0_Dev</t>
        </is>
      </c>
    </row>
    <row r="4">
      <c r="C4" s="194" t="inlineStr">
        <is>
          <t>공통</t>
        </is>
      </c>
      <c r="D4" s="194" t="inlineStr">
        <is>
          <t>본인인증 미진행</t>
        </is>
      </c>
      <c r="E4" s="194" t="inlineStr">
        <is>
          <t>In Progress</t>
        </is>
      </c>
      <c r="F4" s="194" t="inlineStr">
        <is>
          <t>Medium</t>
        </is>
      </c>
      <c r="G4" s="194" t="inlineStr">
        <is>
          <t>Often</t>
        </is>
      </c>
      <c r="H4" s="194" t="inlineStr">
        <is>
          <t>PC웹_Ver1.0_Dev_RC2</t>
        </is>
      </c>
      <c r="I4" s="194" t="inlineStr">
        <is>
          <t>Won't Do</t>
        </is>
      </c>
      <c r="K4" s="194" t="inlineStr">
        <is>
          <t>계정/게이팅</t>
        </is>
      </c>
      <c r="N4" s="194" t="inlineStr">
        <is>
          <t>PC웹_Ver1.0_RT1</t>
        </is>
      </c>
    </row>
    <row r="5">
      <c r="C5" s="194" t="inlineStr">
        <is>
          <t>사람 전용</t>
        </is>
      </c>
      <c r="D5" s="194" t="inlineStr">
        <is>
          <t>성인 인증</t>
        </is>
      </c>
      <c r="E5" s="194" t="inlineStr">
        <is>
          <t>Resolved</t>
        </is>
      </c>
      <c r="F5" s="194" t="inlineStr">
        <is>
          <t>Low</t>
        </is>
      </c>
      <c r="G5" s="194" t="inlineStr">
        <is>
          <t>Sometimes</t>
        </is>
      </c>
      <c r="H5" s="194" t="inlineStr">
        <is>
          <t>PC웹_Ver1.0_Dev_RC3</t>
        </is>
      </c>
      <c r="I5" s="194" t="inlineStr">
        <is>
          <t>Won't Fix</t>
        </is>
      </c>
      <c r="K5" s="194" t="inlineStr">
        <is>
          <t>탐색/발견</t>
        </is>
      </c>
    </row>
    <row r="6">
      <c r="D6" s="194" t="inlineStr">
        <is>
          <t>미성년</t>
        </is>
      </c>
      <c r="E6" s="194" t="inlineStr">
        <is>
          <t>Reopen</t>
        </is>
      </c>
      <c r="G6" s="194" t="inlineStr">
        <is>
          <t>Once</t>
        </is>
      </c>
      <c r="H6" s="194" t="inlineStr">
        <is>
          <t>PC웹_Ver1.0_RT1_RC1</t>
        </is>
      </c>
      <c r="I6" s="194" t="inlineStr">
        <is>
          <t>Duplicate</t>
        </is>
      </c>
      <c r="K6" s="194" t="inlineStr">
        <is>
          <t>유저 페르소나</t>
        </is>
      </c>
    </row>
    <row r="7">
      <c r="D7" s="194" t="inlineStr">
        <is>
          <t>세션 만료</t>
        </is>
      </c>
      <c r="E7" s="194" t="inlineStr">
        <is>
          <t>Closed</t>
        </is>
      </c>
      <c r="I7" s="194" t="inlineStr">
        <is>
          <t>Incomplete</t>
        </is>
      </c>
      <c r="K7" s="194" t="inlineStr">
        <is>
          <t>재화</t>
        </is>
      </c>
    </row>
    <row r="8">
      <c r="I8" s="194" t="inlineStr">
        <is>
          <t>Cannot Reproduce</t>
        </is>
      </c>
      <c r="K8" s="194" t="inlineStr">
        <is>
          <t>서사 시스템</t>
        </is>
      </c>
    </row>
    <row r="9">
      <c r="I9" s="194" t="inlineStr">
        <is>
          <t>Done</t>
        </is>
      </c>
      <c r="K9" s="194" t="inlineStr">
        <is>
          <t>대화 세션</t>
        </is>
      </c>
    </row>
    <row r="10">
      <c r="I10" s="194" t="inlineStr">
        <is>
          <t>Declined</t>
        </is>
      </c>
      <c r="K10" s="194" t="inlineStr">
        <is>
          <t>세이브/로드</t>
        </is>
      </c>
    </row>
    <row r="11">
      <c r="K11" s="194" t="inlineStr">
        <is>
          <t>메모리/컨텍스트</t>
        </is>
      </c>
    </row>
    <row r="12">
      <c r="K12" s="194" t="inlineStr">
        <is>
          <t>입력/출력 세이프티</t>
        </is>
      </c>
    </row>
  </sheetData>
  <conditionalFormatting sqref="C3:C20">
    <cfRule type="cellIs" priority="1" operator="equal" dxfId="5">
      <formula>"Open"</formula>
    </cfRule>
    <cfRule type="cellIs" priority="2" operator="equal" dxfId="6">
      <formula>"In Progress"</formula>
    </cfRule>
    <cfRule type="cellIs" priority="3" operator="equal" dxfId="7">
      <formula>"Resolved"</formula>
    </cfRule>
    <cfRule type="cellIs" priority="4" operator="equal" dxfId="5">
      <formula>"Reopen"</formula>
    </cfRule>
    <cfRule type="cellIs" priority="5" operator="equal" dxfId="8">
      <formula>"Closed"</formula>
    </cfRule>
  </conditionalFormatting>
  <conditionalFormatting sqref="D3:D20">
    <cfRule type="cellIs" priority="6" operator="equal" dxfId="9">
      <formula>"High"</formula>
    </cfRule>
    <cfRule type="cellIs" priority="7" operator="equal" dxfId="10">
      <formula>"Medium"</formula>
    </cfRule>
    <cfRule type="cellIs" priority="8" operator="equal" dxfId="8">
      <formula>"Low"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4" customWidth="1" min="3" max="3"/>
    <col width="90" customWidth="1" min="4" max="4"/>
  </cols>
  <sheetData>
    <row r="2">
      <c r="B2" s="195" t="inlineStr">
        <is>
          <t>명세서 — 시트 규칙 정본</t>
        </is>
      </c>
    </row>
    <row r="3">
      <c r="B3" s="196" t="inlineStr">
        <is>
          <t>이 시트가 구조 규칙의 정본입니다. rules/tc-sheet-format.md와 짝으로 교차 검증하며, 불일치 발견 시 임의 판단 없이 사용자에게 기준을 확인합니다. 서식(색·테두리·폰트)의 정본은 design-template/xlsx-design-guide.md입니다.</t>
        </is>
      </c>
    </row>
    <row r="5">
      <c r="B5" s="177" t="inlineStr">
        <is>
          <t>1. 시트 구성</t>
        </is>
      </c>
    </row>
    <row r="6">
      <c r="B6" s="193" t="inlineStr">
        <is>
          <t>시트</t>
        </is>
      </c>
      <c r="C6" s="193" t="inlineStr">
        <is>
          <t>역할</t>
        </is>
      </c>
    </row>
    <row r="7">
      <c r="B7" s="192" t="inlineStr">
        <is>
          <t>Test Case</t>
        </is>
      </c>
      <c r="C7" s="192" t="inlineStr">
        <is>
          <t>TC 작성과 실행 기록. 노란 셀은 실행 단계에서 채워집니다</t>
        </is>
      </c>
    </row>
    <row r="8">
      <c r="B8" s="192" t="inlineStr">
        <is>
          <t>Summary</t>
        </is>
      </c>
      <c r="C8" s="192" t="inlineStr">
        <is>
          <t>행 단위 자동 집계(1-Depth 기준). 기준 골격 버전(C4)은 생성 시 자동 기입됩니다</t>
        </is>
      </c>
    </row>
    <row r="9">
      <c r="B9" s="192" t="inlineStr">
        <is>
          <t>이슈 관리 시트</t>
        </is>
      </c>
      <c r="C9" s="192" t="inlineStr">
        <is>
          <t>결함 기록(내장 운영, JIRA 미사용) — JIRA 이슈 등록·관리 방식을 시트로 표현. Issue No.로 Test Case와 연결합니다. 정본은 별도 파일 test-case/{프로젝트}-issues.json이며 이 시트는 그 파생입니다</t>
        </is>
      </c>
    </row>
    <row r="10">
      <c r="B10" s="192" t="inlineStr">
        <is>
          <t>목록</t>
        </is>
      </c>
      <c r="C10" s="192" t="inlineStr">
        <is>
          <t>드롭다운 참조 목록의 정본. 숨기지 않고 맨 뒤에 둡니다</t>
        </is>
      </c>
    </row>
    <row r="11">
      <c r="B11" s="192" t="inlineStr">
        <is>
          <t>명세서</t>
        </is>
      </c>
      <c r="C11" s="192" t="inlineStr">
        <is>
          <t>이 시트 — 구조 규칙의 정본</t>
        </is>
      </c>
    </row>
    <row r="13">
      <c r="B13" s="177" t="inlineStr">
        <is>
          <t>2. 컬럼 정의 (Test Case)</t>
        </is>
      </c>
    </row>
    <row r="14">
      <c r="B14" s="193" t="inlineStr">
        <is>
          <t>컬럼</t>
        </is>
      </c>
      <c r="C14" s="193" t="inlineStr">
        <is>
          <t>내용</t>
        </is>
      </c>
      <c r="D14" s="193" t="inlineStr">
        <is>
          <t>채우는 규칙</t>
        </is>
      </c>
    </row>
    <row r="15">
      <c r="B15" s="192" t="inlineStr">
        <is>
          <t>No</t>
        </is>
      </c>
      <c r="C15" s="192" t="inlineStr">
        <is>
          <t>행 번호</t>
        </is>
      </c>
      <c r="D15" s="192" t="inlineStr">
        <is>
          <t>자동 수식(ROW() 기준). 직접 입력하지 않습니다</t>
        </is>
      </c>
    </row>
    <row r="16">
      <c r="B16" s="192" t="inlineStr">
        <is>
          <t>1~7-Depth</t>
        </is>
      </c>
      <c r="C16" s="192" t="inlineStr">
        <is>
          <t>기능 계층</t>
        </is>
      </c>
      <c r="D16" s="192" t="inlineStr">
        <is>
          <t>행마다 반복(기대결과 추가 행 포함 — 집계·필터의 전제). 의미 있는 깊이까지만 쓰고 나머지는 빈칸. 병합하지 않습니다</t>
        </is>
      </c>
    </row>
    <row r="17">
      <c r="B17" s="192" t="inlineStr">
        <is>
          <t>Pre-Condition</t>
        </is>
      </c>
      <c r="C17" s="192" t="inlineStr">
        <is>
          <t>사전조건</t>
        </is>
      </c>
      <c r="D17" s="192" t="inlineStr">
        <is>
          <t>TN 1행에 케이스 진입 조건. 중간 스텝에 앞 스텝이 만들지 못하는 새 상태(시간 경과·외부 변화 등)가 필요하면 그 행에도 적습니다 — 앞 스텝의 결과로 성립한 상태는 제외. 같은 조건이 걸리는 스텝 행 범위는 세로 병합하되 케이스 전체 병합은 금지</t>
        </is>
      </c>
    </row>
    <row r="18">
      <c r="B18" s="192" t="inlineStr">
        <is>
          <t>TN</t>
        </is>
      </c>
      <c r="C18" s="192" t="inlineStr">
        <is>
          <t>스텝 번호</t>
        </is>
      </c>
      <c r="D18" s="192" t="inlineStr">
        <is>
          <t>케이스마다 1부터. 새 케이스가 시작되면 1로 복귀. 한 스텝의 기대결과가 여러 행이면(TN 값 무관) Test-Step과 함께 그 범위를 세로 병합합니다 — 반복 기재하면 독립 동작 여러 개로 오독됩니다</t>
        </is>
      </c>
    </row>
    <row r="19">
      <c r="B19" s="192" t="inlineStr">
        <is>
          <t>Test-Step</t>
        </is>
      </c>
      <c r="C19" s="192" t="inlineStr">
        <is>
          <t>수행 동작</t>
        </is>
      </c>
      <c r="D19" s="192" t="inlineStr">
        <is>
          <t>「~한다」 체. TN과 같은 범위로 세로 병합</t>
        </is>
      </c>
    </row>
    <row r="20">
      <c r="B20" s="192" t="inlineStr">
        <is>
          <t>Expected-Result</t>
        </is>
      </c>
      <c r="C20" s="192" t="inlineStr">
        <is>
          <t>기대 결과</t>
        </is>
      </c>
      <c r="D20" s="192" t="inlineStr">
        <is>
          <t>「~된다」 체. 판정 가능한 문장 — 임계·합격선·시도 횟수는 문장 안에 숫자로. 한 행 = 한 판정이므로 병합하지 않습니다</t>
        </is>
      </c>
    </row>
    <row r="21">
      <c r="B21" s="192" t="inlineStr">
        <is>
          <t>실행 주체</t>
        </is>
      </c>
      <c r="C21" s="192" t="inlineStr">
        <is>
          <t>누가 수행하는가</t>
        </is>
      </c>
      <c r="D21" s="192" t="inlineStr">
        <is>
          <t>행마다 반복(드롭다운 3종). 자동화 전용 = 사람이 화면만 봐서 판정 불가 / 사람 전용 = 자동화가 판정 기준을 못 세움 / 공통 = 기본값. 반복 횟수는 판정 근거가 아니며 「사람이 1회 봐도 의미가 있는가」로 갈립니다</t>
        </is>
      </c>
    </row>
    <row r="22">
      <c r="B22" s="192" t="inlineStr">
        <is>
          <t>Priority</t>
        </is>
      </c>
      <c r="C22" s="192" t="inlineStr">
        <is>
          <t>우선순위</t>
        </is>
      </c>
      <c r="D22" s="192" t="inlineStr">
        <is>
          <t>행마다 반복. High/Medium/Low — 케이스의 속성이지만 Summary가 행 단위로 집계하므로 행마다 값을 둡니다</t>
        </is>
      </c>
    </row>
    <row r="23">
      <c r="B23" s="192" t="inlineStr">
        <is>
          <t>Total Result</t>
        </is>
      </c>
      <c r="C23" s="192" t="inlineStr">
        <is>
          <t>행 판정</t>
        </is>
      </c>
      <c r="D23" s="192" t="inlineStr">
        <is>
          <t>수식 열. 병합하지 않고 데이터 한 행씩 세웁니다 — 같은 플랫폼에 단말이 여럿일 때 그 행의 단말 결과를 요약합니다. 직접 입력하지 않습니다</t>
        </is>
      </c>
    </row>
    <row r="24">
      <c r="B24" s="192" t="inlineStr">
        <is>
          <t>Result</t>
        </is>
      </c>
      <c r="C24" s="192" t="inlineStr">
        <is>
          <t>스텝 실행 결과</t>
        </is>
      </c>
      <c r="D24" s="192" t="inlineStr">
        <is>
          <t>드롭다운 4종(아래 상태값 정의). 실행 단계에서 채움 — 노란 셀</t>
        </is>
      </c>
    </row>
    <row r="25">
      <c r="B25" s="192" t="inlineStr">
        <is>
          <t>Issue No.</t>
        </is>
      </c>
      <c r="C25" s="192" t="inlineStr">
        <is>
          <t>관련 이슈</t>
        </is>
      </c>
      <c r="D25" s="192" t="inlineStr">
        <is>
          <t>해당 TC를 수행하는 과정에서 이슈가 발생하면, 먼저 이슈 관리 시트에 이슈를 등록하고 거기서 부여된 Issue No.를 이 칸에 적습니다. 실행 단계에서 채움 — 노란 셀</t>
        </is>
      </c>
    </row>
    <row r="26">
      <c r="B26" s="192" t="inlineStr">
        <is>
          <t>Comment</t>
        </is>
      </c>
      <c r="C26" s="192" t="inlineStr">
        <is>
          <t>수행 중 기록</t>
        </is>
      </c>
      <c r="D26" s="192" t="inlineStr">
        <is>
          <t>TC를 수행하다 생긴 문제·관찰을 실행 단계에서 적습니다 — 노란 셀. 설계 시점에는 비어 있습니다</t>
        </is>
      </c>
    </row>
    <row r="27">
      <c r="B27" s="192" t="inlineStr">
        <is>
          <t>Note</t>
        </is>
      </c>
      <c r="C27" s="192" t="inlineStr">
        <is>
          <t>수행 전 참고사항</t>
        </is>
      </c>
      <c r="D27" s="192" t="inlineStr">
        <is>
          <t>사람이 읽을 안내만 담습니다 — ①함께 볼 것 ②수행 방법 ③조건 만드는 법. 케이스 메타는 2026-08-03 개정으로 TC ID·검증유형 열이 따로 갖습니다. 스텝 범위 세로 병합</t>
        </is>
      </c>
    </row>
    <row r="28">
      <c r="B28" s="192" t="inlineStr">
        <is>
          <t>TC ID</t>
        </is>
      </c>
      <c r="C28" s="192" t="inlineStr">
        <is>
          <t>조인 키</t>
        </is>
      </c>
      <c r="D28" s="192" t="inlineStr">
        <is>
          <t>행마다 반복. 자동화 케이스명·추적 매트릭스·이슈 연결이 참조합니다. 사람의 실행 동선에서 빼려고 Note 우측 참조 블록에 둡니다</t>
        </is>
      </c>
    </row>
    <row r="29">
      <c r="B29" s="192" t="inlineStr">
        <is>
          <t>검증유형</t>
        </is>
      </c>
      <c r="C29" s="192" t="inlineStr">
        <is>
          <t>판정 방식</t>
        </is>
      </c>
      <c r="D29" s="192" t="inlineStr">
        <is>
          <t>행마다 반복(드롭다운 4종). 반복 횟수는 시트에 적지 않습니다 — 수동 실행자가 자기에게 내려진 지시로 오독하기 때문입니다. 반복은 자동화가 수행하며, 사람은 어떤 유형이든 1회입니다. 확률적·루브릭을 사람이 1회 수행했다면 결과는 Pass가 아니라 관찰 기록이고, 판정은 자동화 반복이나 채점이 담당합니다</t>
        </is>
      </c>
    </row>
    <row r="30">
      <c r="B30" s="192" t="inlineStr">
        <is>
          <t>상태</t>
        </is>
      </c>
      <c r="C30" s="192" t="inlineStr">
        <is>
          <t>케이스가 밟는 게이팅·세션 상태 (2026-08-04 신설)</t>
        </is>
      </c>
      <c r="D30" s="192" t="inlineStr">
        <is>
          <t>행마다 반복. 값 5종은 목록 시트가 정본이고 복수 상태는 쉼표로 적습니다(전환 케이스 — 드롭다운을 걸지 않는 이유). 자동 필터를 「포함」 조건으로 걸어 상태별 TC를 추출하고, 트리의 [상태:] 선언과 맞물려 잎×상태 커버리지를 대조합니다</t>
        </is>
      </c>
    </row>
    <row r="32">
      <c r="B32" s="177" t="inlineStr">
        <is>
          <t>3. 상태값 정의</t>
        </is>
      </c>
    </row>
    <row r="33">
      <c r="B33" s="193" t="inlineStr">
        <is>
          <t>상태</t>
        </is>
      </c>
      <c r="C33" s="193" t="inlineStr">
        <is>
          <t>정의</t>
        </is>
      </c>
      <c r="D33" s="193" t="inlineStr">
        <is>
          <t>Pass율 분모</t>
        </is>
      </c>
    </row>
    <row r="34">
      <c r="B34" s="192" t="inlineStr">
        <is>
          <t>Pass</t>
        </is>
      </c>
      <c r="C34" s="192" t="inlineStr">
        <is>
          <t>성공</t>
        </is>
      </c>
      <c r="D34" s="192" t="inlineStr">
        <is>
          <t>포함</t>
        </is>
      </c>
    </row>
    <row r="35">
      <c r="B35" s="192" t="inlineStr">
        <is>
          <t>Fail</t>
        </is>
      </c>
      <c r="C35" s="192" t="inlineStr">
        <is>
          <t>실패</t>
        </is>
      </c>
      <c r="D35" s="192" t="inlineStr">
        <is>
          <t>포함</t>
        </is>
      </c>
    </row>
    <row r="36">
      <c r="B36" s="192" t="inlineStr">
        <is>
          <t>NI</t>
        </is>
      </c>
      <c r="C36" s="192" t="inlineStr">
        <is>
          <t>미구현이거나 스펙에 없어 실행 대상이 아님 (Not Implemented)</t>
        </is>
      </c>
      <c r="D36" s="192" t="inlineStr">
        <is>
          <t>제외</t>
        </is>
      </c>
    </row>
    <row r="37">
      <c r="B37" s="192" t="inlineStr">
        <is>
          <t>Blocked</t>
        </is>
      </c>
      <c r="C37" s="192" t="inlineStr">
        <is>
          <t>기능은 구현됐으나 확인할 수 없는 상태 — 선행 케이스 Fail·환경 결함·데이터 준비 불가 등. 사유는 실행 과정에서 Comment에 적습니다</t>
        </is>
      </c>
      <c r="D37" s="192" t="inlineStr">
        <is>
          <t>제외</t>
        </is>
      </c>
    </row>
    <row r="38">
      <c r="B38" s="196" t="inlineStr">
        <is>
          <t>Pass율 = Pass ÷ (Pass + Fail). NI·Blocked를 분모에 넣지 않는 이유는 결함 1건이 후속 Blocked 수만큼 중복 계상되는 것을 막기 위해서입니다.</t>
        </is>
      </c>
    </row>
    <row r="40">
      <c r="B40" s="177" t="inlineStr">
        <is>
          <t>4. Total Result 규칙</t>
        </is>
      </c>
    </row>
    <row r="41">
      <c r="B41" s="193" t="inlineStr">
        <is>
          <t>항목</t>
        </is>
      </c>
      <c r="C41" s="193" t="inlineStr">
        <is>
          <t>규칙</t>
        </is>
      </c>
    </row>
    <row r="42">
      <c r="B42" s="192" t="inlineStr">
        <is>
          <t>우선순위</t>
        </is>
      </c>
      <c r="C42" s="192" t="inlineStr">
        <is>
          <t>Fail &gt; Blocked &gt; NI &gt; Pass — 스텝 중 하나라도 Fail이면 케이스 Fail</t>
        </is>
      </c>
    </row>
    <row r="43">
      <c r="B43" s="192" t="inlineStr">
        <is>
          <t>수식 원형</t>
        </is>
      </c>
      <c r="C43" s="192" t="inlineStr">
        <is>
          <t>IF(COUNTIF(범위,"Fail")&gt;0,"Fail",IF(COUNTIF(범위,"Blocked")&gt;0,"Blocked",IF(COUNTIF(범위,"NI")&gt;0,"NI",IF(COUNTIF(범위,"Pass")&gt;0,"Pass","")))) — 셀에는 앞에 = 를 붙여 사용합니다. 아무것도 실행되지 않은 케이스는 빈칸입니다</t>
        </is>
      </c>
    </row>
    <row r="44">
      <c r="B44" s="192" t="inlineStr">
        <is>
          <t>병합</t>
        </is>
      </c>
      <c r="C44" s="192" t="inlineStr">
        <is>
          <t>하지 않습니다 — 데이터 한 행씩 세웁니다. 같은 플랫폼에 단말이 여럿일 때 그 행의 단말 결과를 하나로 요약하는 자리입니다</t>
        </is>
      </c>
    </row>
    <row r="46">
      <c r="B46" s="177" t="inlineStr">
        <is>
          <t>5. TC ID 체계</t>
        </is>
      </c>
    </row>
    <row r="47">
      <c r="B47" s="193" t="inlineStr">
        <is>
          <t>항목</t>
        </is>
      </c>
      <c r="C47" s="193" t="inlineStr">
        <is>
          <t>규칙</t>
        </is>
      </c>
    </row>
    <row r="48">
      <c r="B48" s="192" t="inlineStr">
        <is>
          <t>형식</t>
        </is>
      </c>
      <c r="C48" s="192" t="inlineStr">
        <is>
          <t>TC-{영역코드}-{번호 3자리} — 예: TC-ENT-001</t>
        </is>
      </c>
    </row>
    <row r="49">
      <c r="B49" s="192" t="inlineStr">
        <is>
          <t>번호</t>
        </is>
      </c>
      <c r="C49" s="192" t="inlineStr">
        <is>
          <t>영역 안에서만 증가합니다. 다른 영역에 케이스가 추가돼도 기존 ID가 흔들리지 않습니다</t>
        </is>
      </c>
    </row>
    <row r="50">
      <c r="B50" s="192" t="inlineStr">
        <is>
          <t>영역코드</t>
        </is>
      </c>
      <c r="C50" s="192" t="inlineStr">
        <is>
          <t>기능 트리 1-Depth당 하나. 프로젝트별 매핑표는 아래 §5-1이며, 정의가 없는 프로젝트에서는 그 절이 나오지 않습니다</t>
        </is>
      </c>
    </row>
    <row r="51">
      <c r="B51" s="192" t="inlineStr">
        <is>
          <t>기재 위치</t>
        </is>
      </c>
      <c r="C51" s="192" t="inlineStr">
        <is>
          <t>Note의 첫 토큰(케이스 메타의 맨 앞). 자동화 케이스명·추적 매트릭스·이슈 연결이 이 ID를 참조합니다. Comment는 설계 시점에 비어 있는 실행 기록 칸이므로 설계 데이터를 두지 않습니다</t>
        </is>
      </c>
    </row>
    <row r="53">
      <c r="B53" s="177" t="inlineStr">
        <is>
          <t>5-1. 영역코드 매핑</t>
        </is>
      </c>
    </row>
    <row r="54">
      <c r="B54" s="196" t="inlineStr">
        <is>
          <t>키는 기능 트리 1-Depth 영역명이며, 이슈 관리 시트 「레이블」 목록과 같은 값을 씁니다. 코드는 영문 표기의 앞 세 글자이고, 한 영역에 하나씩만 둡니다. 정본은 TC 설계 입력(tc-input json)의 area_codes입니다.</t>
        </is>
      </c>
    </row>
    <row r="55">
      <c r="B55" s="193" t="inlineStr">
        <is>
          <t>영역 (기능 트리 1-Depth)</t>
        </is>
      </c>
      <c r="C55" s="193" t="inlineStr">
        <is>
          <t>코드</t>
        </is>
      </c>
      <c r="D55" s="193" t="inlineStr">
        <is>
          <t>영문 표기</t>
        </is>
      </c>
      <c r="E55" s="193" t="inlineStr">
        <is>
          <t>TC ID 예</t>
        </is>
      </c>
    </row>
    <row r="56">
      <c r="B56" s="192" t="inlineStr">
        <is>
          <t>앱 진입/세션</t>
        </is>
      </c>
      <c r="C56" s="192" t="inlineStr">
        <is>
          <t>ENT</t>
        </is>
      </c>
      <c r="D56" s="192" t="inlineStr">
        <is>
          <t>Entry &amp; Session</t>
        </is>
      </c>
      <c r="E56" s="192" t="inlineStr">
        <is>
          <t>TC-ENT-001</t>
        </is>
      </c>
    </row>
    <row r="57">
      <c r="B57" s="192" t="inlineStr">
        <is>
          <t>계정/게이팅</t>
        </is>
      </c>
      <c r="C57" s="192" t="inlineStr">
        <is>
          <t>GAT</t>
        </is>
      </c>
      <c r="D57" s="192" t="inlineStr">
        <is>
          <t>Gating (account &amp; age)</t>
        </is>
      </c>
      <c r="E57" s="192" t="inlineStr">
        <is>
          <t>TC-GAT-001</t>
        </is>
      </c>
    </row>
    <row r="58">
      <c r="B58" s="192" t="inlineStr">
        <is>
          <t>탐색/발견</t>
        </is>
      </c>
      <c r="C58" s="192" t="inlineStr">
        <is>
          <t>DSC</t>
        </is>
      </c>
      <c r="D58" s="192" t="inlineStr">
        <is>
          <t>Discovery</t>
        </is>
      </c>
      <c r="E58" s="192" t="inlineStr">
        <is>
          <t>TC-DSC-001</t>
        </is>
      </c>
    </row>
    <row r="59">
      <c r="B59" s="192" t="inlineStr">
        <is>
          <t>유저 페르소나</t>
        </is>
      </c>
      <c r="C59" s="192" t="inlineStr">
        <is>
          <t>PRF</t>
        </is>
      </c>
      <c r="D59" s="192" t="inlineStr">
        <is>
          <t>Profile (dialogue persona)</t>
        </is>
      </c>
      <c r="E59" s="192" t="inlineStr">
        <is>
          <t>TC-PRF-001</t>
        </is>
      </c>
    </row>
    <row r="60">
      <c r="B60" s="192" t="inlineStr">
        <is>
          <t>재화</t>
        </is>
      </c>
      <c r="C60" s="192" t="inlineStr">
        <is>
          <t>CUR</t>
        </is>
      </c>
      <c r="D60" s="192" t="inlineStr">
        <is>
          <t>Currency</t>
        </is>
      </c>
      <c r="E60" s="192" t="inlineStr">
        <is>
          <t>TC-CUR-001</t>
        </is>
      </c>
    </row>
    <row r="61">
      <c r="B61" s="192" t="inlineStr">
        <is>
          <t>서사 시스템</t>
        </is>
      </c>
      <c r="C61" s="192" t="inlineStr">
        <is>
          <t>NAR</t>
        </is>
      </c>
      <c r="D61" s="192" t="inlineStr">
        <is>
          <t>Narrative</t>
        </is>
      </c>
      <c r="E61" s="192" t="inlineStr">
        <is>
          <t>TC-NAR-001</t>
        </is>
      </c>
    </row>
    <row r="62">
      <c r="B62" s="192" t="inlineStr">
        <is>
          <t>대화 세션</t>
        </is>
      </c>
      <c r="C62" s="192" t="inlineStr">
        <is>
          <t>CHT</t>
        </is>
      </c>
      <c r="D62" s="192" t="inlineStr">
        <is>
          <t>Chat session</t>
        </is>
      </c>
      <c r="E62" s="192" t="inlineStr">
        <is>
          <t>TC-CHT-001</t>
        </is>
      </c>
    </row>
    <row r="63">
      <c r="B63" s="192" t="inlineStr">
        <is>
          <t>세이브/로드</t>
        </is>
      </c>
      <c r="C63" s="192" t="inlineStr">
        <is>
          <t>SAV</t>
        </is>
      </c>
      <c r="D63" s="192" t="inlineStr">
        <is>
          <t>Save &amp; Load</t>
        </is>
      </c>
      <c r="E63" s="192" t="inlineStr">
        <is>
          <t>TC-SAV-001</t>
        </is>
      </c>
    </row>
    <row r="64">
      <c r="B64" s="192" t="inlineStr">
        <is>
          <t>메모리/컨텍스트</t>
        </is>
      </c>
      <c r="C64" s="192" t="inlineStr">
        <is>
          <t>MEM</t>
        </is>
      </c>
      <c r="D64" s="192" t="inlineStr">
        <is>
          <t>Memory &amp; Context</t>
        </is>
      </c>
      <c r="E64" s="192" t="inlineStr">
        <is>
          <t>TC-MEM-001</t>
        </is>
      </c>
    </row>
    <row r="65">
      <c r="B65" s="192" t="inlineStr">
        <is>
          <t>입력/출력 세이프티</t>
        </is>
      </c>
      <c r="C65" s="192" t="inlineStr">
        <is>
          <t>SAF</t>
        </is>
      </c>
      <c r="D65" s="192" t="inlineStr">
        <is>
          <t>Safety (input &amp; output)</t>
        </is>
      </c>
      <c r="E65" s="192" t="inlineStr">
        <is>
          <t>TC-SAF-001</t>
        </is>
      </c>
    </row>
    <row r="67">
      <c r="B67" s="177" t="inlineStr">
        <is>
          <t>6. 플랫폼 열 규칙</t>
        </is>
      </c>
    </row>
    <row r="68">
      <c r="B68" s="193" t="inlineStr">
        <is>
          <t>항목</t>
        </is>
      </c>
      <c r="C68" s="193" t="inlineStr">
        <is>
          <t>규칙</t>
        </is>
      </c>
    </row>
    <row r="69">
      <c r="B69" s="192" t="inlineStr">
        <is>
          <t>기본값</t>
        </is>
      </c>
      <c r="C69" s="192" t="inlineStr">
        <is>
          <t>마스터는 Web / And / iOS 3열</t>
        </is>
      </c>
    </row>
    <row r="70">
      <c r="B70" s="192" t="inlineStr">
        <is>
          <t>프로젝트 조정</t>
        </is>
      </c>
      <c r="C70" s="192" t="inlineStr">
        <is>
          <t>TC 설계 시작 시 대상 플랫폼을 사용자에게 재확인하고, Test Case의 Total Result·Result 하위 열과 Summary의 플랫폼 열을 함께 조정합니다</t>
        </is>
      </c>
    </row>
    <row r="72">
      <c r="B72" s="177" t="inlineStr">
        <is>
          <t>7. 입력 규칙</t>
        </is>
      </c>
    </row>
    <row r="73">
      <c r="B73" s="193" t="inlineStr">
        <is>
          <t>항목</t>
        </is>
      </c>
      <c r="C73" s="193" t="inlineStr">
        <is>
          <t>규칙</t>
        </is>
      </c>
    </row>
    <row r="74">
      <c r="B74" s="192" t="inlineStr">
        <is>
          <t>실행 채움 셀(노랑)</t>
        </is>
      </c>
      <c r="C74" s="192" t="inlineStr">
        <is>
          <t>설계 시점에는 비어 있고 실행 단계에서 채워지는 칸 — 환경 블록·Result·Issue No.·Comment. 채우는 주체가 사람이든 자동화든 설계자는 건드리지 않습니다. 설계 데이터는 노란 칸에 두지 않습니다</t>
        </is>
      </c>
    </row>
    <row r="75">
      <c r="B75" s="192" t="inlineStr">
        <is>
          <t>설계 셀</t>
        </is>
      </c>
      <c r="C75" s="192" t="inlineStr">
        <is>
          <t>Depth·절차·기대결과는 실행 중 수정하지 않습니다</t>
        </is>
      </c>
    </row>
    <row r="76">
      <c r="B76" s="192" t="inlineStr">
        <is>
          <t>틀 고정</t>
        </is>
      </c>
      <c r="C76" s="192" t="inlineStr">
        <is>
          <t>데이터 첫 행 위. 스크롤해도 2행 제목·헤더·환경 블록이 남으며, 그 구간은 회색(#BFBFBF)과 Total/Result 띠(#F9D7BE)로 데이터와 갈라 둡니다. A열과 1행은 값도 색도 두지 않습니다</t>
        </is>
      </c>
    </row>
    <row r="77">
      <c r="B77" s="192" t="inlineStr">
        <is>
          <t>자동 필터</t>
        </is>
      </c>
      <c r="C77" s="192" t="inlineStr">
        <is>
          <t>헤더 행에 걸어 둡니다. 실행 주체·검증유형·Priority처럼 케이스 단위 값으로 거르면 한 케이스의 행이 통째로 남거나 빠져 스텝 범위 병합이 깨지지 않습니다. Result 같은 행 단위 값으로 거르면 케이스 중간이 잘려 병합이 어색해집니다</t>
        </is>
      </c>
    </row>
    <row r="78">
      <c r="B78" s="192" t="inlineStr">
        <is>
          <t>뎁스 채움 색</t>
        </is>
      </c>
      <c r="C78" s="192" t="inlineStr">
        <is>
          <t>뎁스 열의 값 있는 셀만 텍스트별 고유색으로 채웁니다 — 같은 텍스트는 같은 색, 인접한 다른 텍스트와는 색상환에서 멀어지게 배정. 케이스명 칸과 빈칸은 흰 배경. 규칙 정본은 xlsx-design-guide.md §5</t>
        </is>
      </c>
    </row>
    <row r="79">
      <c r="B79" s="192" t="inlineStr">
        <is>
          <t>기준 골격 버전</t>
        </is>
      </c>
      <c r="C79" s="192" t="inlineStr">
        <is>
          <t>Summary C4에 생성 스크립트가 자동 기입합니다 — 형식 {프로젝트}-tree-v{X.Y}. TC 설계 입력(tc-input json)의 값을 그대로 쓰므로 사람이 옮겨 적지 않습니다</t>
        </is>
      </c>
    </row>
    <row r="81">
      <c r="B81" s="177" t="inlineStr">
        <is>
          <t>8. 컬럼 정의 (이슈 관리 시트)</t>
        </is>
      </c>
    </row>
    <row r="82">
      <c r="B82" s="196" t="inlineStr">
        <is>
          <t>이슈 기록의 정본은 test-case/{프로젝트}-issues.json입니다. TC 설계 원본과 파일을 나눈 이유는 크기가 아니라 생명주기입니다 — TC 세트는 확정되면 고정되지만 이슈는 실행하면서 계속 늘고 상태가 바뀌므로, 한 파일에 두면 이슈 갱신 때마다 설계 원본이 변경되어 확정 시점이 흐려집니다.</t>
        </is>
      </c>
    </row>
    <row r="83">
      <c r="B83" s="193" t="inlineStr">
        <is>
          <t>컬럼</t>
        </is>
      </c>
      <c r="C83" s="193" t="inlineStr">
        <is>
          <t>내용</t>
        </is>
      </c>
      <c r="D83" s="193" t="inlineStr">
        <is>
          <t>채우는 규칙</t>
        </is>
      </c>
    </row>
    <row r="84">
      <c r="B84" s="192" t="inlineStr">
        <is>
          <t>프로젝트 ID</t>
        </is>
      </c>
      <c r="C84" s="192" t="inlineStr">
        <is>
          <t>프로젝트 식별자</t>
        </is>
      </c>
      <c r="D84" s="192" t="inlineStr">
        <is>
          <t>SUT명 기준. 목록 시트 참조</t>
        </is>
      </c>
    </row>
    <row r="85">
      <c r="B85" s="192" t="inlineStr">
        <is>
          <t>Issue No.</t>
        </is>
      </c>
      <c r="C85" s="192" t="inlineStr">
        <is>
          <t>발생한 이슈의 식별자</t>
        </is>
      </c>
      <c r="D85" s="192" t="inlineStr">
        <is>
          <t>발생한 이슈를 등록하며 부여합니다 — {프로젝트}-{생성 번호순} (1 &gt; 2 &gt; 3 &gt; …). TC 수행 중 발생한 이슈라면 이 번호를 Test Case 시트의 Issue No.에 적어 잇습니다</t>
        </is>
      </c>
    </row>
    <row r="86">
      <c r="B86" s="192" t="inlineStr">
        <is>
          <t>이슈 상태</t>
        </is>
      </c>
      <c r="C86" s="192" t="inlineStr">
        <is>
          <t>이슈의 현재 상태</t>
        </is>
      </c>
      <c r="D86" s="192" t="inlineStr">
        <is>
          <t>Open: 열린 상태(재현됨) / In Progress: 담당자가 수정 진행 중 / Resolved: 해결됨 / Reopen: 해결된 이슈가 재현되어 다시 엶 / Closed: 재현되지 않아 닫음</t>
        </is>
      </c>
    </row>
    <row r="87">
      <c r="B87" s="192" t="inlineStr">
        <is>
          <t>요약(Summary)</t>
        </is>
      </c>
      <c r="C87" s="192" t="inlineStr">
        <is>
          <t>이슈 제목</t>
        </is>
      </c>
      <c r="D87" s="192" t="inlineStr">
        <is>
          <t>재현 경로 요약 — 문단 구분은 "&gt;", 마지막은 무엇이 잘못됐는지 수동태로.
ex) rules/ 폴더 이동 &gt; A.md 실행 시, 크래시 발생됨</t>
        </is>
      </c>
    </row>
    <row r="88">
      <c r="B88" s="192" t="inlineStr">
        <is>
          <t>설명</t>
        </is>
      </c>
      <c r="C88" s="192" t="inlineStr">
        <is>
          <t>재현 방법 상세</t>
        </is>
      </c>
      <c r="D88" s="192" t="inlineStr">
        <is>
          <t>Pre-condition(사전 조건) / Reproduce Step(재현 스텝) / Actual Result(실제 결과, ~됨) / Expected Result(기대 결과, ~되어야 함) / QA Comment(참고) 순서로 작성</t>
        </is>
      </c>
    </row>
    <row r="89">
      <c r="B89" s="192" t="inlineStr">
        <is>
          <t>우선순위</t>
        </is>
      </c>
      <c r="C89" s="192" t="inlineStr">
        <is>
          <t>이슈 심각도</t>
        </is>
      </c>
      <c r="D89" s="192" t="inlineStr">
        <is>
          <t>High: 크래시·진입 불가 등 치명 / Medium: 진입은 되나 기능 미동작 / Low: 문구·표기 오류</t>
        </is>
      </c>
    </row>
    <row r="90">
      <c r="B90" s="192" t="inlineStr">
        <is>
          <t>빈도</t>
        </is>
      </c>
      <c r="C90" s="192" t="inlineStr">
        <is>
          <t>발생 빈도</t>
        </is>
      </c>
      <c r="D90" s="192" t="inlineStr">
        <is>
          <t>Always: 항상 / Often: 종종(70% 이상) / Sometimes: 가끔(70% 미만) / Once: 1회만</t>
        </is>
      </c>
    </row>
    <row r="91">
      <c r="B91" s="192" t="inlineStr">
        <is>
          <t>영향 받는 버전</t>
        </is>
      </c>
      <c r="C91" s="192" t="inlineStr">
        <is>
          <t>이슈가 재현되는 빌드</t>
        </is>
      </c>
      <c r="D91" s="192" t="inlineStr">
        <is>
          <t>{테스트환경}_{개발목표버전}_{스프린트}_{확인버전} 네 토막.
테스트환경=어디서 확인했는가(PC웹) / 개발목표버전=무엇을 향해 개발 중인가(Ver1.0) / 스프린트=그 목표 버전의 주 목표(Dev, RT1=Release Train 1차) / 확인버전=그 시점의 RC 빌드(RC=Release Candidate).
ex) PC웹_Ver1.0_Dev_RC1 · PC웹_Ver1.1_RT1_RC1. 목록 시트 참조(수정 버전과 공용).
확인버전은 검증 대상 빌드가 바뀔 때마다 올리며, SUT를 직접 만드는 프로젝트는 그 값을 SUT 푸터에 표시합니다</t>
        </is>
      </c>
    </row>
    <row r="92">
      <c r="B92" s="192" t="inlineStr">
        <is>
          <t>수정 버전</t>
        </is>
      </c>
      <c r="C92" s="192" t="inlineStr">
        <is>
          <t>이슈가 수정된 버전</t>
        </is>
      </c>
      <c r="D92" s="192" t="inlineStr">
        <is>
          <t>영향 받는 버전과 같은 목록을 사용합니다</t>
        </is>
      </c>
    </row>
    <row r="93">
      <c r="B93" s="192" t="inlineStr">
        <is>
          <t>해결책</t>
        </is>
      </c>
      <c r="C93" s="192" t="inlineStr">
        <is>
          <t>수정 방향</t>
        </is>
      </c>
      <c r="D93" s="192" t="inlineStr">
        <is>
          <t>Fixed: 코드 수정으로 대응 / Won't Do: 환경·기술 지원 불가로 미대응 / Won't Fix: 수정 필요하나 지금은 안 함 / Duplicate: 동일 건 존재 / Incomplete: 이슈 자체가 잘못됨 / Cannot Reproduce: 재현 불가 / Done: 기획·정책 결정으로 이슈 아님 확정 / Declined(QA Only): QA선에서 이슈로 보지 않음</t>
        </is>
      </c>
    </row>
    <row r="94">
      <c r="B94" s="192" t="inlineStr">
        <is>
          <t>환경</t>
        </is>
      </c>
      <c r="C94" s="192" t="inlineStr">
        <is>
          <t>발생 디바이스</t>
        </is>
      </c>
      <c r="D94" s="192" t="inlineStr">
        <is>
          <t>PC웹 / Android / iOS</t>
        </is>
      </c>
    </row>
    <row r="95">
      <c r="B95" s="192" t="inlineStr">
        <is>
          <t>레이블</t>
        </is>
      </c>
      <c r="C95" s="192" t="inlineStr">
        <is>
          <t>발생 영역</t>
        </is>
      </c>
      <c r="D95" s="192" t="inlineStr">
        <is>
          <t>기능 트리 1-Depth 영역명 — 목록 시트 참조. 트리 개정 시 목록만 갱신하고 기존 행 값은 소급 변경하지 않습니다</t>
        </is>
      </c>
    </row>
    <row r="96">
      <c r="B96" s="192" t="inlineStr">
        <is>
          <t>보고자</t>
        </is>
      </c>
      <c r="C96" s="192" t="inlineStr">
        <is>
          <t>이슈 등록자</t>
        </is>
      </c>
      <c r="D96" s="192" t="inlineStr">
        <is>
          <t>목록 참조</t>
        </is>
      </c>
    </row>
    <row r="97">
      <c r="B97" s="192" t="inlineStr">
        <is>
          <t>담당자</t>
        </is>
      </c>
      <c r="C97" s="192" t="inlineStr">
        <is>
          <t>이슈 수정 담당자</t>
        </is>
      </c>
      <c r="D97" s="192" t="inlineStr">
        <is>
          <t>목록 참조</t>
        </is>
      </c>
    </row>
    <row r="98">
      <c r="B98" s="192" t="inlineStr">
        <is>
          <t>관측자</t>
        </is>
      </c>
      <c r="C98" s="192" t="inlineStr">
        <is>
          <t>함께 팔로우할 인원</t>
        </is>
      </c>
      <c r="D98" s="192" t="inlineStr">
        <is>
          <t>드롭다운 없음 — 쉼표 구분 자유 입력(멀티 선택은 xlsx 표준 기능에 없음)</t>
        </is>
      </c>
    </row>
    <row r="99">
      <c r="B99" s="192" t="inlineStr">
        <is>
          <t>첨부파일</t>
        </is>
      </c>
      <c r="C99" s="192" t="inlineStr">
        <is>
          <t>재현 증적</t>
        </is>
      </c>
      <c r="D99" s="192" t="inlineStr">
        <is>
          <t>재현 영상·이미지의 경로 또는 링크</t>
        </is>
      </c>
    </row>
    <row r="100">
      <c r="B100" s="192" t="inlineStr">
        <is>
          <t>스프린트</t>
        </is>
      </c>
      <c r="C100" s="192" t="inlineStr">
        <is>
          <t>QA 진행 단위</t>
        </is>
      </c>
      <c r="D100" s="192" t="inlineStr">
        <is>
          <t>영향 받는 버전에서 확인버전(RC)을 뺀 앞 세 토막 — {테스트환경}_{개발목표버전}_{스프린트}. 스프린트 하나가 RC1·RC2·RC3에 걸치므로 스프린트는 사이클을, 버전은 그 안의 빌드를 가리킵니다. 발견 단계도 이 칸으로 갈립니다 — ex) PC웹_Ver1.0_Dev(개발 단계 자체 발견) / PC웹_Ver1.0_RT1(QA 사이클 검출). 목록 참조</t>
        </is>
      </c>
    </row>
    <row r="101">
      <c r="B101" s="192" t="inlineStr">
        <is>
          <t>이슈 등록일</t>
        </is>
      </c>
      <c r="C101" s="192" t="inlineStr">
        <is>
          <t>최초 등록일</t>
        </is>
      </c>
      <c r="D101" s="192" t="inlineStr">
        <is>
          <t>YYYY-MM-DD. 이후 변경하지 않습니다</t>
        </is>
      </c>
    </row>
    <row r="102">
      <c r="B102" s="192" t="inlineStr">
        <is>
          <t>이슈 최종 수정일자</t>
        </is>
      </c>
      <c r="C102" s="192" t="inlineStr">
        <is>
          <t>내용 최종 수정일</t>
        </is>
      </c>
      <c r="D102" s="192" t="inlineStr">
        <is>
          <t>YYYY-MM-DD. 요약·설명 등 내용이 바뀔 때 갱신</t>
        </is>
      </c>
    </row>
    <row r="103">
      <c r="B103" s="192" t="inlineStr">
        <is>
          <t>이슈 상태 최종 변경일자</t>
        </is>
      </c>
      <c r="C103" s="192" t="inlineStr">
        <is>
          <t>상태 최종 변경일</t>
        </is>
      </c>
      <c r="D103" s="192" t="inlineStr">
        <is>
          <t>YYYY-MM-DD. 이슈 상태가 바뀔 때 갱신</t>
        </is>
      </c>
    </row>
    <row r="105">
      <c r="B105" s="177" t="inlineStr">
        <is>
          <t>9. 목록 시트 규칙</t>
        </is>
      </c>
    </row>
    <row r="106">
      <c r="B106" s="193" t="inlineStr">
        <is>
          <t>항목</t>
        </is>
      </c>
      <c r="C106" s="193" t="inlineStr">
        <is>
          <t>규칙</t>
        </is>
      </c>
    </row>
    <row r="107">
      <c r="B107" s="192" t="inlineStr">
        <is>
          <t>지위</t>
        </is>
      </c>
      <c r="C107" s="192" t="inlineStr">
        <is>
          <t>드롭다운 참조의 정본 — 전 시트의 데이터 검증이 이 시트를 참조합니다</t>
        </is>
      </c>
    </row>
    <row r="108">
      <c r="B108" s="192" t="inlineStr">
        <is>
          <t>노출</t>
        </is>
      </c>
      <c r="C108" s="192" t="inlineStr">
        <is>
          <t>숨기지 않고 맨 뒤 배치 — 값 체계 자체가 전시물입니다</t>
        </is>
      </c>
    </row>
    <row r="109">
      <c r="B109" s="192" t="inlineStr">
        <is>
          <t>갱신</t>
        </is>
      </c>
      <c r="C109" s="192" t="inlineStr">
        <is>
          <t>항목 추가는 행 추가로. 명칭 변경은 목록만 교체하고 기존 데이터 행은 소급 변경하지 않습니다(검증은 신규 입력에만 작동)</t>
        </is>
      </c>
    </row>
    <row r="110">
      <c r="B110" s="192" t="inlineStr">
        <is>
          <t>레이블 동기</t>
        </is>
      </c>
      <c r="C110" s="192" t="inlineStr">
        <is>
          <t>기능 트리 개정 시 레이블 목록을 함께 갱신합니다(정본 수정 체크리스트 연동)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2026-08-03T16:43:17Z</dcterms:created>
  <dcterms:modified xsi:type="dcterms:W3CDTF">2026-08-03T16:43:18Z</dcterms:modified>
</cp:coreProperties>
</file>