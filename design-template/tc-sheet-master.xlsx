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" sheetId="1" state="visible" r:id="rId1"/>
    <sheet name="Summary" sheetId="2" state="visible" r:id="rId2"/>
    <sheet name="이슈 관리 시트" sheetId="3" state="visible" r:id="rId3"/>
    <sheet name="목록" sheetId="4" state="visible" r:id="rId4"/>
    <sheet name="명세서" sheetId="5" state="visible" r:id="rId5"/>
  </sheets>
  <definedNames>
    <definedName name="list_project">목록!$B$3:$B$3</definedName>
    <definedName name="list_status">목록!$C$3:$C$7</definedName>
    <definedName name="list_priority">목록!$D$3:$D$5</definedName>
    <definedName name="list_frequency">목록!$E$3:$E$6</definedName>
    <definedName name="list_version">목록!$F$3:$F$3</definedName>
    <definedName name="list_resolution">목록!$G$3:$G$10</definedName>
    <definedName name="list_env">목록!$H$3:$H$5</definedName>
    <definedName name="list_label">목록!$I$3:$I$3</definedName>
    <definedName name="list_reporter">목록!$J$3:$J$3</definedName>
    <definedName name="list_assignee">목록!$K$3:$K$3</definedName>
    <definedName name="list_sprint">목록!$L$3:$L$3</definedName>
    <definedName name="_xlnm._FilterDatabase" localSheetId="2" hidden="1">'이슈 관리 시트'!$B$2:$U$3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맑은 고딕"/>
      <b val="1"/>
      <color rgb="00F3F3F3"/>
      <sz val="11"/>
    </font>
    <font>
      <name val="맑은 고딕"/>
      <b val="1"/>
      <color rgb="00F3F3F3"/>
      <sz val="9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color rgb="00555555"/>
      <sz val="8"/>
    </font>
    <font>
      <name val="맑은 고딕"/>
      <b val="1"/>
      <color rgb="00000000"/>
      <sz val="12"/>
    </font>
    <font>
      <name val="맑은 고딕"/>
      <color rgb="00000000"/>
      <sz val="11"/>
    </font>
    <font>
      <name val="맑은 고딕"/>
      <b val="1"/>
      <color rgb="00000000"/>
      <sz val="13"/>
    </font>
    <font>
      <name val="맑은 고딕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44546A"/>
      </patternFill>
    </fill>
    <fill>
      <patternFill patternType="solid">
        <fgColor rgb="00EDEFF4"/>
      </patternFill>
    </fill>
    <fill>
      <patternFill patternType="solid">
        <fgColor rgb="00FFF9C4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0" borderId="0" pivotButton="0" quotePrefix="0" xfId="0"/>
    <xf numFmtId="0" fontId="3" fillId="4" borderId="1" pivotButton="0" quotePrefix="0" xfId="0"/>
    <xf numFmtId="0" fontId="4" fillId="6" borderId="1" pivotButton="0" quotePrefix="0" xfId="0"/>
    <xf numFmtId="0" fontId="3" fillId="6" borderId="1" pivotButton="0" quotePrefix="0" xfId="0"/>
    <xf numFmtId="0" fontId="4" fillId="6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/>
    </xf>
    <xf numFmtId="0" fontId="7" fillId="6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7" fillId="6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1">
    <dxf>
      <font>
        <name val="맑은 고딕"/>
        <b val="1"/>
        <color rgb="00047857"/>
        <sz val="9"/>
      </font>
      <fill>
        <patternFill patternType="solid">
          <fgColor rgb="00D1FAE5"/>
        </patternFill>
      </fill>
    </dxf>
    <dxf>
      <font>
        <name val="맑은 고딕"/>
        <b val="1"/>
        <color rgb="00B91C1C"/>
        <sz val="9"/>
      </font>
      <fill>
        <patternFill patternType="solid">
          <fgColor rgb="00FEE2E2"/>
        </patternFill>
      </fill>
    </dxf>
    <dxf>
      <font>
        <name val="맑은 고딕"/>
        <b val="1"/>
        <color rgb="004B5563"/>
        <sz val="9"/>
      </font>
      <fill>
        <patternFill patternType="solid">
          <fgColor rgb="00E5E7EB"/>
        </patternFill>
      </fill>
    </dxf>
    <dxf>
      <font>
        <name val="맑은 고딕"/>
        <b val="1"/>
        <color rgb="006D28D9"/>
        <sz val="9"/>
      </font>
      <fill>
        <patternFill patternType="solid">
          <fgColor rgb="00EDE9FE"/>
        </patternFill>
      </fill>
    </dxf>
    <dxf>
      <font>
        <name val="맑은 고딕"/>
        <b val="1"/>
        <color rgb="00B45309"/>
        <sz val="9"/>
      </font>
      <fill>
        <patternFill patternType="solid">
          <fgColor rgb="00FEF3C7"/>
        </patternFill>
      </fill>
    </dxf>
    <dxf>
      <font>
        <name val="맑은 고딕"/>
        <b val="1"/>
        <color rgb="00000000"/>
        <sz val="11"/>
      </font>
      <fill>
        <patternFill patternType="solid">
          <fgColor rgb="00FFFFFF"/>
        </patternFill>
      </fill>
    </dxf>
    <dxf>
      <font>
        <name val="맑은 고딕"/>
        <b val="1"/>
        <color rgb="001D4ED8"/>
        <sz val="11"/>
      </font>
      <fill>
        <patternFill patternType="solid">
          <fgColor rgb="00DBEAFE"/>
        </patternFill>
      </fill>
    </dxf>
    <dxf>
      <font>
        <name val="맑은 고딕"/>
        <b val="1"/>
        <color rgb="00047857"/>
        <sz val="11"/>
      </font>
      <fill>
        <patternFill patternType="solid">
          <fgColor rgb="00D1FAE5"/>
        </patternFill>
      </fill>
    </dxf>
    <dxf>
      <font>
        <name val="맑은 고딕"/>
        <b val="1"/>
        <color rgb="004B5563"/>
        <sz val="11"/>
      </font>
      <fill>
        <patternFill patternType="solid">
          <fgColor rgb="00E5E7EB"/>
        </patternFill>
      </fill>
    </dxf>
    <dxf>
      <font>
        <name val="맑은 고딕"/>
        <b val="1"/>
        <color rgb="00B91C1C"/>
        <sz val="11"/>
      </font>
      <fill>
        <patternFill patternType="solid">
          <fgColor rgb="00FEE2E2"/>
        </patternFill>
      </fill>
    </dxf>
    <dxf>
      <font>
        <name val="맑은 고딕"/>
        <b val="1"/>
        <color rgb="00B45309"/>
        <sz val="11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5" customWidth="1" min="3" max="3"/>
    <col width="14" customWidth="1" min="4" max="4"/>
    <col width="15" customWidth="1" min="5" max="5"/>
    <col width="20" customWidth="1" min="6" max="6"/>
    <col width="11" customWidth="1" min="7" max="7"/>
    <col width="11" customWidth="1" min="8" max="8"/>
    <col width="11" customWidth="1" min="9" max="9"/>
    <col width="26" customWidth="1" min="10" max="10"/>
    <col width="5" customWidth="1" min="11" max="11"/>
    <col width="34" customWidth="1" min="12" max="12"/>
    <col width="46" customWidth="1" min="13" max="13"/>
    <col width="9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11" customWidth="1" min="21" max="21"/>
    <col width="34" customWidth="1" min="22" max="22"/>
    <col width="30" customWidth="1" min="23" max="23"/>
    <col width="12" customWidth="1" min="24" max="24"/>
  </cols>
  <sheetData>
    <row r="3" ht="22" customHeight="1">
      <c r="B3" s="1" t="inlineStr">
        <is>
          <t>Test Case Template</t>
        </is>
      </c>
    </row>
    <row r="4" ht="18" customHeight="1">
      <c r="B4" s="2" t="inlineStr">
        <is>
          <t>No</t>
        </is>
      </c>
      <c r="C4" s="2" t="inlineStr">
        <is>
          <t>1-Depth</t>
        </is>
      </c>
      <c r="D4" s="2" t="inlineStr">
        <is>
          <t>2-Depth</t>
        </is>
      </c>
      <c r="E4" s="2" t="inlineStr">
        <is>
          <t>3-Depth</t>
        </is>
      </c>
      <c r="F4" s="2" t="inlineStr">
        <is>
          <t>4-Depth</t>
        </is>
      </c>
      <c r="G4" s="2" t="inlineStr">
        <is>
          <t>5-Depth</t>
        </is>
      </c>
      <c r="H4" s="2" t="inlineStr">
        <is>
          <t>6-Depth</t>
        </is>
      </c>
      <c r="I4" s="2" t="inlineStr">
        <is>
          <t>7-Depth</t>
        </is>
      </c>
      <c r="J4" s="2" t="inlineStr">
        <is>
          <t>Pre-Condition</t>
        </is>
      </c>
      <c r="K4" s="2" t="inlineStr">
        <is>
          <t>TN</t>
        </is>
      </c>
      <c r="L4" s="2" t="inlineStr">
        <is>
          <t>Test-Step</t>
        </is>
      </c>
      <c r="M4" s="2" t="inlineStr">
        <is>
          <t>Expected-Result</t>
        </is>
      </c>
      <c r="N4" s="2" t="inlineStr">
        <is>
          <t>Priority</t>
        </is>
      </c>
      <c r="O4" s="3" t="inlineStr">
        <is>
          <t>Total Result</t>
        </is>
      </c>
      <c r="P4" s="4" t="n"/>
      <c r="Q4" s="4" t="n"/>
      <c r="R4" s="3" t="inlineStr">
        <is>
          <t>Result</t>
        </is>
      </c>
      <c r="S4" s="4" t="n"/>
      <c r="T4" s="4" t="n"/>
      <c r="U4" s="2" t="inlineStr">
        <is>
          <t>Issue No.</t>
        </is>
      </c>
      <c r="V4" s="2" t="inlineStr">
        <is>
          <t>Comment</t>
        </is>
      </c>
      <c r="W4" s="2" t="inlineStr">
        <is>
          <t>Note</t>
        </is>
      </c>
      <c r="X4" s="2" t="inlineStr">
        <is>
          <t>Test Case Edit</t>
        </is>
      </c>
    </row>
    <row r="5" ht="16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inlineStr">
        <is>
          <t>Web</t>
        </is>
      </c>
      <c r="P5" s="5" t="inlineStr">
        <is>
          <t>And</t>
        </is>
      </c>
      <c r="Q5" s="5" t="inlineStr">
        <is>
          <t>iOS</t>
        </is>
      </c>
      <c r="R5" s="5" t="inlineStr">
        <is>
          <t>Web</t>
        </is>
      </c>
      <c r="S5" s="5" t="inlineStr">
        <is>
          <t>And</t>
        </is>
      </c>
      <c r="T5" s="5" t="inlineStr">
        <is>
          <t>iOS</t>
        </is>
      </c>
      <c r="U5" s="4" t="n"/>
      <c r="V5" s="4" t="n"/>
      <c r="W5" s="4" t="n"/>
      <c r="X5" s="4" t="n"/>
    </row>
    <row r="6">
      <c r="N6" s="6" t="inlineStr">
        <is>
          <t>OS</t>
        </is>
      </c>
      <c r="O6" s="7" t="n"/>
      <c r="P6" s="4" t="n"/>
      <c r="Q6" s="4" t="n"/>
      <c r="R6" s="8" t="inlineStr"/>
      <c r="S6" s="8" t="inlineStr"/>
      <c r="T6" s="8" t="inlineStr"/>
      <c r="V6" s="9" t="inlineStr">
        <is>
          <t>※ 노란색 셀은 실행 단계에서 채워집니다 — 환경 정보 / Result / Issue No. / Comment   ·   수행 전 참고사항은 전부 Note에 있습니다</t>
        </is>
      </c>
    </row>
    <row r="7">
      <c r="N7" s="6" t="inlineStr">
        <is>
          <t>단말</t>
        </is>
      </c>
      <c r="O7" s="7" t="n"/>
      <c r="P7" s="4" t="n"/>
      <c r="Q7" s="4" t="n"/>
      <c r="R7" s="8" t="inlineStr">
        <is>
          <t>Chrome / Safari</t>
        </is>
      </c>
      <c r="S7" s="8" t="inlineStr"/>
      <c r="T7" s="8" t="inlineStr"/>
    </row>
    <row r="8">
      <c r="N8" s="6" t="inlineStr">
        <is>
          <t>버전</t>
        </is>
      </c>
      <c r="O8" s="7" t="n"/>
      <c r="P8" s="4" t="n"/>
      <c r="Q8" s="4" t="n"/>
      <c r="R8" s="8" t="inlineStr"/>
      <c r="S8" s="8" t="inlineStr"/>
      <c r="T8" s="8" t="inlineStr"/>
      <c r="V8" s="10" t="inlineStr">
        <is>
          <t>※ 1-Depth는 기능 영역 기준. 실제 탐색으로 화면명이 확정되면 1-Depth에 화면명을 넣고 현재 계층을 한 칸씩 내림</t>
        </is>
      </c>
    </row>
    <row r="9">
      <c r="N9" s="6" t="inlineStr">
        <is>
          <t>작업자 이름</t>
        </is>
      </c>
      <c r="O9" s="7" t="n"/>
      <c r="P9" s="4" t="n"/>
      <c r="Q9" s="4" t="n"/>
      <c r="R9" s="8" t="inlineStr"/>
      <c r="S9" s="8" t="inlineStr"/>
      <c r="T9" s="8" t="inlineStr"/>
    </row>
    <row r="10">
      <c r="N10" s="6" t="inlineStr">
        <is>
          <t>작업 시작일</t>
        </is>
      </c>
      <c r="O10" s="7" t="n"/>
      <c r="P10" s="4" t="n"/>
      <c r="Q10" s="4" t="n"/>
      <c r="R10" s="8" t="inlineStr"/>
      <c r="S10" s="8" t="inlineStr"/>
      <c r="T10" s="8" t="inlineStr"/>
    </row>
    <row r="11" ht="30" customHeight="1">
      <c r="B11" s="11">
        <f>ROW()-10</f>
        <v/>
      </c>
      <c r="C11" s="12" t="inlineStr">
        <is>
          <t>앱 진입</t>
        </is>
      </c>
      <c r="D11" s="13" t="inlineStr">
        <is>
          <t>최초 실행</t>
        </is>
      </c>
      <c r="E11" s="13" t="inlineStr">
        <is>
          <t>진입 분기</t>
        </is>
      </c>
      <c r="F11" s="13" t="inlineStr">
        <is>
          <t>미로그인 최초 실행</t>
        </is>
      </c>
      <c r="G11" s="13" t="inlineStr"/>
      <c r="H11" s="13" t="inlineStr"/>
      <c r="I11" s="13" t="inlineStr"/>
      <c r="J11" s="13" t="inlineStr">
        <is>
          <t>앱 최초 설치, 로그인 이력 없음</t>
        </is>
      </c>
      <c r="K11" s="14" t="n">
        <v>1</v>
      </c>
      <c r="L11" s="13" t="inlineStr">
        <is>
          <t>앱을 실행한다</t>
        </is>
      </c>
      <c r="M11" s="13" t="inlineStr">
        <is>
          <t>앱이 정상 기동된다</t>
        </is>
      </c>
      <c r="N11" s="11" t="inlineStr">
        <is>
          <t>High</t>
        </is>
      </c>
      <c r="O11" s="15">
        <f>IF(COUNTIF(R11:R12,"Fail")&gt;0,"Fail",IF(COUNTIF(R11:R12,"Blocked")&gt;0,"Blocked",IF(COUNTIF(R11:R12,"NI")&gt;0,"NI",IF(COUNTIF(R11:R12,"Pass")&gt;0,"Pass",""))))</f>
        <v/>
      </c>
      <c r="P11" s="15">
        <f>IF(COUNTIF(S11:S12,"Fail")&gt;0,"Fail",IF(COUNTIF(S11:S12,"Blocked")&gt;0,"Blocked",IF(COUNTIF(S11:S12,"NI")&gt;0,"NI",IF(COUNTIF(S11:S12,"Pass")&gt;0,"Pass",""))))</f>
        <v/>
      </c>
      <c r="Q11" s="15">
        <f>IF(COUNTIF(T11:T12,"Fail")&gt;0,"Fail",IF(COUNTIF(T11:T12,"Blocked")&gt;0,"Blocked",IF(COUNTIF(T11:T12,"NI")&gt;0,"NI",IF(COUNTIF(T11:T12,"Pass")&gt;0,"Pass",""))))</f>
        <v/>
      </c>
      <c r="R11" s="16" t="n"/>
      <c r="S11" s="16" t="n"/>
      <c r="T11" s="16" t="n"/>
      <c r="U11" s="17" t="n"/>
      <c r="V11" s="17" t="n"/>
      <c r="W11" s="13" t="inlineStr">
        <is>
          <t>TC-ENT-001 · 1단계 · 선행 - · 대상 {서비스명}
결정적 · 1회 실행, 기대값 불일치 시 FAIL</t>
        </is>
      </c>
      <c r="X11" s="13" t="n"/>
    </row>
    <row r="12" ht="30" customHeight="1">
      <c r="B12" s="11">
        <f>ROW()-10</f>
        <v/>
      </c>
      <c r="C12" s="12" t="inlineStr">
        <is>
          <t>앱 진입</t>
        </is>
      </c>
      <c r="D12" s="13" t="inlineStr">
        <is>
          <t>최초 실행</t>
        </is>
      </c>
      <c r="E12" s="13" t="inlineStr">
        <is>
          <t>진입 분기</t>
        </is>
      </c>
      <c r="F12" s="13" t="inlineStr">
        <is>
          <t>미로그인 최초 실행</t>
        </is>
      </c>
      <c r="G12" s="13" t="inlineStr"/>
      <c r="H12" s="13" t="inlineStr"/>
      <c r="I12" s="13" t="inlineStr"/>
      <c r="J12" s="13" t="inlineStr"/>
      <c r="K12" s="14" t="n">
        <v>2</v>
      </c>
      <c r="L12" s="13" t="inlineStr">
        <is>
          <t>노출 화면을 확인한다</t>
        </is>
      </c>
      <c r="M12" s="13" t="inlineStr">
        <is>
          <t>로그인 화면이 노출된다</t>
        </is>
      </c>
      <c r="N12" s="11" t="inlineStr">
        <is>
          <t>High</t>
        </is>
      </c>
      <c r="O12" s="18" t="n"/>
      <c r="P12" s="18" t="n"/>
      <c r="Q12" s="18" t="n"/>
      <c r="R12" s="16" t="n"/>
      <c r="S12" s="16" t="n"/>
      <c r="T12" s="16" t="n"/>
      <c r="U12" s="17" t="n"/>
      <c r="V12" s="17" t="n"/>
      <c r="W12" s="13" t="n"/>
      <c r="X12" s="13" t="n"/>
    </row>
    <row r="13" ht="30" customHeight="1">
      <c r="B13" s="11">
        <f>ROW()-10</f>
        <v/>
      </c>
      <c r="C13" s="12" t="inlineStr">
        <is>
          <t>앱 진입</t>
        </is>
      </c>
      <c r="D13" s="13" t="inlineStr">
        <is>
          <t>최초 실행</t>
        </is>
      </c>
      <c r="E13" s="13" t="inlineStr">
        <is>
          <t>진입 분기</t>
        </is>
      </c>
      <c r="F13" s="13" t="inlineStr">
        <is>
          <t>세션 유지 상태 실행</t>
        </is>
      </c>
      <c r="G13" s="13" t="inlineStr"/>
      <c r="H13" s="13" t="inlineStr"/>
      <c r="I13" s="13" t="inlineStr"/>
      <c r="J13" s="13" t="inlineStr">
        <is>
          <t>로그인 이력 있음, 세션 유효</t>
        </is>
      </c>
      <c r="K13" s="14" t="n">
        <v>1</v>
      </c>
      <c r="L13" s="13" t="inlineStr">
        <is>
          <t>앱을 실행한다</t>
        </is>
      </c>
      <c r="M13" s="13" t="inlineStr">
        <is>
          <t>앱이 정상 기동된다</t>
        </is>
      </c>
      <c r="N13" s="11" t="inlineStr">
        <is>
          <t>High</t>
        </is>
      </c>
      <c r="O13" s="15">
        <f>IF(COUNTIF(R13:R14,"Fail")&gt;0,"Fail",IF(COUNTIF(R13:R14,"Blocked")&gt;0,"Blocked",IF(COUNTIF(R13:R14,"NI")&gt;0,"NI",IF(COUNTIF(R13:R14,"Pass")&gt;0,"Pass",""))))</f>
        <v/>
      </c>
      <c r="P13" s="15">
        <f>IF(COUNTIF(S13:S14,"Fail")&gt;0,"Fail",IF(COUNTIF(S13:S14,"Blocked")&gt;0,"Blocked",IF(COUNTIF(S13:S14,"NI")&gt;0,"NI",IF(COUNTIF(S13:S14,"Pass")&gt;0,"Pass",""))))</f>
        <v/>
      </c>
      <c r="Q13" s="15">
        <f>IF(COUNTIF(T13:T14,"Fail")&gt;0,"Fail",IF(COUNTIF(T13:T14,"Blocked")&gt;0,"Blocked",IF(COUNTIF(T13:T14,"NI")&gt;0,"NI",IF(COUNTIF(T13:T14,"Pass")&gt;0,"Pass",""))))</f>
        <v/>
      </c>
      <c r="R13" s="16" t="n"/>
      <c r="S13" s="16" t="n"/>
      <c r="T13" s="16" t="n"/>
      <c r="U13" s="17" t="n"/>
      <c r="V13" s="17" t="n"/>
      <c r="W13" s="13" t="inlineStr">
        <is>
          <t>TC-ENT-002 · 2단계 · 선행 TC-ENT-001 · 대상 {서비스명}
결정적 · 1회 실행, 기대값 불일치 시 FAIL</t>
        </is>
      </c>
      <c r="X13" s="13" t="n"/>
    </row>
    <row r="14" ht="30" customHeight="1">
      <c r="B14" s="11">
        <f>ROW()-10</f>
        <v/>
      </c>
      <c r="C14" s="12" t="inlineStr">
        <is>
          <t>앱 진입</t>
        </is>
      </c>
      <c r="D14" s="13" t="inlineStr">
        <is>
          <t>최초 실행</t>
        </is>
      </c>
      <c r="E14" s="13" t="inlineStr">
        <is>
          <t>진입 분기</t>
        </is>
      </c>
      <c r="F14" s="13" t="inlineStr">
        <is>
          <t>세션 유지 상태 실행</t>
        </is>
      </c>
      <c r="G14" s="13" t="inlineStr"/>
      <c r="H14" s="13" t="inlineStr"/>
      <c r="I14" s="13" t="inlineStr"/>
      <c r="J14" s="13" t="inlineStr"/>
      <c r="K14" s="14" t="n">
        <v>2</v>
      </c>
      <c r="L14" s="13" t="inlineStr">
        <is>
          <t>노출 화면을 확인한다</t>
        </is>
      </c>
      <c r="M14" s="13" t="inlineStr">
        <is>
          <t>로그인 화면을 거치지 않고 홈 화면이 노출된다</t>
        </is>
      </c>
      <c r="N14" s="11" t="inlineStr">
        <is>
          <t>High</t>
        </is>
      </c>
      <c r="O14" s="18" t="n"/>
      <c r="P14" s="18" t="n"/>
      <c r="Q14" s="18" t="n"/>
      <c r="R14" s="16" t="n"/>
      <c r="S14" s="16" t="n"/>
      <c r="T14" s="16" t="n"/>
      <c r="U14" s="17" t="n"/>
      <c r="V14" s="17" t="n"/>
      <c r="W14" s="13" t="n"/>
      <c r="X14" s="13" t="n"/>
    </row>
  </sheetData>
  <mergeCells count="33">
    <mergeCell ref="C4:C5"/>
    <mergeCell ref="E4:E5"/>
    <mergeCell ref="V4:V5"/>
    <mergeCell ref="O4:Q4"/>
    <mergeCell ref="B3:X3"/>
    <mergeCell ref="V6:X6"/>
    <mergeCell ref="P11:P12"/>
    <mergeCell ref="D4:D5"/>
    <mergeCell ref="J4:J5"/>
    <mergeCell ref="L4:L5"/>
    <mergeCell ref="O8:Q8"/>
    <mergeCell ref="P13:P14"/>
    <mergeCell ref="G4:G5"/>
    <mergeCell ref="X4:X5"/>
    <mergeCell ref="I4:I5"/>
    <mergeCell ref="O11:O12"/>
    <mergeCell ref="K4:K5"/>
    <mergeCell ref="O7:Q7"/>
    <mergeCell ref="Q11:Q12"/>
    <mergeCell ref="U4:U5"/>
    <mergeCell ref="O10:Q10"/>
    <mergeCell ref="M4:M5"/>
    <mergeCell ref="B4:B5"/>
    <mergeCell ref="O6:Q6"/>
    <mergeCell ref="O13:O14"/>
    <mergeCell ref="W4:W5"/>
    <mergeCell ref="F4:F5"/>
    <mergeCell ref="Q13:Q14"/>
    <mergeCell ref="H4:H5"/>
    <mergeCell ref="N4:N5"/>
    <mergeCell ref="R4:T4"/>
    <mergeCell ref="O9:Q9"/>
    <mergeCell ref="V8:X10"/>
  </mergeCells>
  <conditionalFormatting sqref="R11:T5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"NI"</formula>
    </cfRule>
    <cfRule type="cellIs" priority="4" operator="equal" dxfId="3">
      <formula>"Blocked"</formula>
    </cfRule>
  </conditionalFormatting>
  <conditionalFormatting sqref="O11:Q500">
    <cfRule type="cellIs" priority="5" operator="equal" dxfId="0">
      <formula>"Pass"</formula>
    </cfRule>
    <cfRule type="cellIs" priority="6" operator="equal" dxfId="1">
      <formula>"Fail"</formula>
    </cfRule>
    <cfRule type="cellIs" priority="7" operator="equal" dxfId="2">
      <formula>"NI"</formula>
    </cfRule>
    <cfRule type="cellIs" priority="8" operator="equal" dxfId="3">
      <formula>"Blocked"</formula>
    </cfRule>
  </conditionalFormatting>
  <conditionalFormatting sqref="N11:N500">
    <cfRule type="cellIs" priority="9" operator="equal" dxfId="1">
      <formula>"High"</formula>
    </cfRule>
    <cfRule type="cellIs" priority="10" operator="equal" dxfId="4">
      <formula>"Medium"</formula>
    </cfRule>
    <cfRule type="cellIs" priority="11" operator="equal" dxfId="2">
      <formula>"Low"</formula>
    </cfRule>
  </conditionalFormatting>
  <dataValidations count="2">
    <dataValidation sqref="R11:T500" showDropDown="0" showInputMessage="0" showErrorMessage="0" allowBlank="1" type="list">
      <formula1>"Pass,Fail,NI,Blocked"</formula1>
    </dataValidation>
    <dataValidation sqref="N11:N5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 ht="19" customHeight="1">
      <c r="B2" s="19" t="inlineStr">
        <is>
          <t>커버리지 요약</t>
        </is>
      </c>
    </row>
    <row r="3">
      <c r="B3" s="9" t="inlineStr">
        <is>
          <t>Test Case 시트를 참조하는 수식으로 자동 집계됩니다. 행을 추가하면 아래 범위를 넓히세요.</t>
        </is>
      </c>
    </row>
    <row r="4">
      <c r="B4" s="20" t="inlineStr">
        <is>
          <t>기준 골격 버전</t>
        </is>
      </c>
      <c r="C4" s="21" t="inlineStr">
        <is>
          <t>{프로젝트}-tree-vX.Y</t>
        </is>
      </c>
      <c r="D4" s="4" t="n"/>
      <c r="E4" s="4" t="n"/>
    </row>
    <row r="5">
      <c r="B5" s="3" t="inlineStr">
        <is>
          <t>1-Depth (영역)</t>
        </is>
      </c>
      <c r="C5" s="3" t="inlineStr">
        <is>
          <t>TC 수</t>
        </is>
      </c>
      <c r="D5" s="3" t="inlineStr">
        <is>
          <t>Priority</t>
        </is>
      </c>
      <c r="E5" s="4" t="n"/>
      <c r="F5" s="4" t="n"/>
      <c r="G5" s="3" t="inlineStr">
        <is>
          <t>Web</t>
        </is>
      </c>
      <c r="H5" s="4" t="n"/>
      <c r="I5" s="4" t="n"/>
      <c r="J5" s="4" t="n"/>
      <c r="K5" s="3" t="inlineStr">
        <is>
          <t>And</t>
        </is>
      </c>
      <c r="L5" s="4" t="n"/>
      <c r="M5" s="4" t="n"/>
      <c r="N5" s="4" t="n"/>
      <c r="O5" s="3" t="inlineStr">
        <is>
          <t>iOS</t>
        </is>
      </c>
      <c r="P5" s="4" t="n"/>
      <c r="Q5" s="4" t="n"/>
      <c r="R5" s="4" t="n"/>
      <c r="S5" s="4" t="n"/>
    </row>
    <row r="6">
      <c r="B6" s="4" t="n"/>
      <c r="C6" s="4" t="n"/>
      <c r="D6" s="5" t="inlineStr">
        <is>
          <t>High</t>
        </is>
      </c>
      <c r="E6" s="5" t="inlineStr">
        <is>
          <t>Medium</t>
        </is>
      </c>
      <c r="F6" s="5" t="inlineStr">
        <is>
          <t>Low</t>
        </is>
      </c>
      <c r="G6" s="5" t="inlineStr">
        <is>
          <t>Pass</t>
        </is>
      </c>
      <c r="H6" s="5" t="inlineStr">
        <is>
          <t>Fail</t>
        </is>
      </c>
      <c r="I6" s="5" t="inlineStr">
        <is>
          <t>Blocked</t>
        </is>
      </c>
      <c r="J6" s="5" t="inlineStr">
        <is>
          <t>Pass율</t>
        </is>
      </c>
      <c r="K6" s="5" t="inlineStr">
        <is>
          <t>Pass</t>
        </is>
      </c>
      <c r="L6" s="5" t="inlineStr">
        <is>
          <t>Fail</t>
        </is>
      </c>
      <c r="M6" s="5" t="inlineStr">
        <is>
          <t>Blocked</t>
        </is>
      </c>
      <c r="N6" s="5" t="inlineStr">
        <is>
          <t>Pass율</t>
        </is>
      </c>
      <c r="O6" s="5" t="inlineStr">
        <is>
          <t>Pass</t>
        </is>
      </c>
      <c r="P6" s="5" t="inlineStr">
        <is>
          <t>Fail</t>
        </is>
      </c>
      <c r="Q6" s="5" t="inlineStr">
        <is>
          <t>Blocked</t>
        </is>
      </c>
      <c r="R6" s="5" t="inlineStr">
        <is>
          <t>Pass율</t>
        </is>
      </c>
      <c r="S6" s="4" t="n"/>
    </row>
    <row r="7">
      <c r="B7" s="22" t="inlineStr">
        <is>
          <t>앱 진입</t>
        </is>
      </c>
      <c r="C7" s="23">
        <f>COUNTIF('Test Case'!$C$11:$C$500,$B7)</f>
        <v/>
      </c>
      <c r="D7" s="23">
        <f>COUNTIFS('Test Case'!$C$11:$C$500,$B7,'Test Case'!$N$11:$N$500,"High")</f>
        <v/>
      </c>
      <c r="E7" s="23">
        <f>COUNTIFS('Test Case'!$C$11:$C$500,$B7,'Test Case'!$N$11:$N$500,"Medium")</f>
        <v/>
      </c>
      <c r="F7" s="23">
        <f>COUNTIFS('Test Case'!$C$11:$C$500,$B7,'Test Case'!$N$11:$N$500,"Low")</f>
        <v/>
      </c>
      <c r="G7" s="23">
        <f>COUNTIFS('Test Case'!$C$11:$C$500,$B7,'Test Case'!$R$11:$R$500,"Pass")</f>
        <v/>
      </c>
      <c r="H7" s="23">
        <f>COUNTIFS('Test Case'!$C$11:$C$500,$B7,'Test Case'!$R$11:$R$500,"Fail")</f>
        <v/>
      </c>
      <c r="I7" s="23">
        <f>COUNTIFS('Test Case'!$C$11:$C$500,$B7,'Test Case'!$R$11:$R$500,"Blocked")</f>
        <v/>
      </c>
      <c r="J7" s="24">
        <f>IF(G7+H7=0,"",G7/(G7+H7))</f>
        <v/>
      </c>
      <c r="K7" s="23">
        <f>COUNTIFS('Test Case'!$C$11:$C$500,$B7,'Test Case'!$S$11:$S$500,"Pass")</f>
        <v/>
      </c>
      <c r="L7" s="23">
        <f>COUNTIFS('Test Case'!$C$11:$C$500,$B7,'Test Case'!$S$11:$S$500,"Fail")</f>
        <v/>
      </c>
      <c r="M7" s="23">
        <f>COUNTIFS('Test Case'!$C$11:$C$500,$B7,'Test Case'!$S$11:$S$500,"Blocked")</f>
        <v/>
      </c>
      <c r="N7" s="24">
        <f>IF(K7+L7=0,"",K7/(K7+L7))</f>
        <v/>
      </c>
      <c r="O7" s="23">
        <f>COUNTIFS('Test Case'!$C$11:$C$500,$B7,'Test Case'!$T$11:$T$500,"Pass")</f>
        <v/>
      </c>
      <c r="P7" s="23">
        <f>COUNTIFS('Test Case'!$C$11:$C$500,$B7,'Test Case'!$T$11:$T$500,"Fail")</f>
        <v/>
      </c>
      <c r="Q7" s="23">
        <f>COUNTIFS('Test Case'!$C$11:$C$500,$B7,'Test Case'!$T$11:$T$500,"Blocked")</f>
        <v/>
      </c>
      <c r="R7" s="24">
        <f>IF(O7+P7=0,"",O7/(O7+P7))</f>
        <v/>
      </c>
    </row>
    <row r="8">
      <c r="B8" s="25" t="inlineStr">
        <is>
          <t>합계</t>
        </is>
      </c>
      <c r="C8" s="26">
        <f>SUM(C7:C7)</f>
        <v/>
      </c>
      <c r="D8" s="26">
        <f>SUM(D7:D7)</f>
        <v/>
      </c>
      <c r="E8" s="26">
        <f>SUM(E7:E7)</f>
        <v/>
      </c>
      <c r="F8" s="26">
        <f>SUM(F7:F7)</f>
        <v/>
      </c>
      <c r="G8" s="26">
        <f>SUM(G7:G7)</f>
        <v/>
      </c>
      <c r="H8" s="26">
        <f>SUM(H7:H7)</f>
        <v/>
      </c>
      <c r="I8" s="26">
        <f>SUM(I7:I7)</f>
        <v/>
      </c>
      <c r="J8" s="27">
        <f>IF(G8+H8=0,"",G8/(G8+H8))</f>
        <v/>
      </c>
      <c r="K8" s="26">
        <f>SUM(K7:K7)</f>
        <v/>
      </c>
      <c r="L8" s="26">
        <f>SUM(L7:L7)</f>
        <v/>
      </c>
      <c r="M8" s="26">
        <f>SUM(M7:M7)</f>
        <v/>
      </c>
      <c r="N8" s="27">
        <f>IF(K8+L8=0,"",K8/(K8+L8))</f>
        <v/>
      </c>
      <c r="O8" s="26">
        <f>SUM(O7:O7)</f>
        <v/>
      </c>
      <c r="P8" s="26">
        <f>SUM(P7:P7)</f>
        <v/>
      </c>
      <c r="Q8" s="26">
        <f>SUM(Q7:Q7)</f>
        <v/>
      </c>
      <c r="R8" s="27">
        <f>IF(O8+P8=0,"",O8/(O8+P8))</f>
        <v/>
      </c>
      <c r="S8" s="26">
        <f>SUM(S7:S7)</f>
        <v/>
      </c>
    </row>
    <row r="10">
      <c r="B10" s="9" t="inlineStr">
        <is>
          <t>TC 수 = 스텝 행 수(1-Depth 기준) · Pass/Fail/Blocked도 같은 행 단위(Result 열) · Pass율 = Pass ÷ (Pass + Fail) — NI·Blocked는 분모에서 제외합니다</t>
        </is>
      </c>
    </row>
  </sheetData>
  <mergeCells count="7">
    <mergeCell ref="D5:F5"/>
    <mergeCell ref="C4:E4"/>
    <mergeCell ref="O5:R5"/>
    <mergeCell ref="G5:J5"/>
    <mergeCell ref="B5:B6"/>
    <mergeCell ref="K5:N5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U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3" customWidth="1" min="3" max="3"/>
    <col width="12" customWidth="1" min="4" max="4"/>
    <col width="46" customWidth="1" min="5" max="5"/>
    <col width="50" customWidth="1" min="6" max="6"/>
    <col width="9" customWidth="1" min="7" max="7"/>
    <col width="10" customWidth="1" min="8" max="8"/>
    <col width="17" customWidth="1" min="9" max="9"/>
    <col width="17" customWidth="1" min="10" max="10"/>
    <col width="16" customWidth="1" min="11" max="11"/>
    <col width="8" customWidth="1" min="12" max="12"/>
    <col width="16" customWidth="1" min="13" max="13"/>
    <col width="9" customWidth="1" min="14" max="14"/>
    <col width="10" customWidth="1" min="15" max="15"/>
    <col width="12" customWidth="1" min="16" max="16"/>
    <col width="10" customWidth="1" min="17" max="17"/>
    <col width="13" customWidth="1" min="18" max="18"/>
    <col width="12" customWidth="1" min="19" max="19"/>
    <col width="14" customWidth="1" min="20" max="20"/>
    <col width="15" customWidth="1" min="21" max="21"/>
  </cols>
  <sheetData>
    <row r="2" ht="30" customHeight="1">
      <c r="B2" s="28" t="inlineStr">
        <is>
          <t>프로젝트 ID</t>
        </is>
      </c>
      <c r="C2" s="28" t="inlineStr">
        <is>
          <t>Issue No.</t>
        </is>
      </c>
      <c r="D2" s="28" t="inlineStr">
        <is>
          <t>이슈 상태</t>
        </is>
      </c>
      <c r="E2" s="28" t="inlineStr">
        <is>
          <t>요약(Summary)</t>
        </is>
      </c>
      <c r="F2" s="28" t="inlineStr">
        <is>
          <t>설명</t>
        </is>
      </c>
      <c r="G2" s="28" t="inlineStr">
        <is>
          <t>우선순위</t>
        </is>
      </c>
      <c r="H2" s="28" t="inlineStr">
        <is>
          <t>빈도</t>
        </is>
      </c>
      <c r="I2" s="28" t="inlineStr">
        <is>
          <t>영향 받는 버전</t>
        </is>
      </c>
      <c r="J2" s="28" t="inlineStr">
        <is>
          <t>수정 버전</t>
        </is>
      </c>
      <c r="K2" s="28" t="inlineStr">
        <is>
          <t>해결책</t>
        </is>
      </c>
      <c r="L2" s="28" t="inlineStr">
        <is>
          <t>환경</t>
        </is>
      </c>
      <c r="M2" s="28" t="inlineStr">
        <is>
          <t>레이블</t>
        </is>
      </c>
      <c r="N2" s="28" t="inlineStr">
        <is>
          <t>보고자</t>
        </is>
      </c>
      <c r="O2" s="28" t="inlineStr">
        <is>
          <t>담당자</t>
        </is>
      </c>
      <c r="P2" s="28" t="inlineStr">
        <is>
          <t>관측자</t>
        </is>
      </c>
      <c r="Q2" s="28" t="inlineStr">
        <is>
          <t>첨부파일</t>
        </is>
      </c>
      <c r="R2" s="28" t="inlineStr">
        <is>
          <t>스프린트</t>
        </is>
      </c>
      <c r="S2" s="28" t="inlineStr">
        <is>
          <t>이슈 등록일</t>
        </is>
      </c>
      <c r="T2" s="28" t="inlineStr">
        <is>
          <t>이슈 최종 수정일자</t>
        </is>
      </c>
      <c r="U2" s="28" t="inlineStr">
        <is>
          <t>이슈 상태 최종 변경일자</t>
        </is>
      </c>
    </row>
    <row r="3">
      <c r="B3" s="29" t="inlineStr">
        <is>
          <t>{프로젝트}</t>
        </is>
      </c>
      <c r="C3" s="29" t="inlineStr">
        <is>
          <t>{프로젝트}-1</t>
        </is>
      </c>
      <c r="D3" s="29" t="inlineStr">
        <is>
          <t>Open</t>
        </is>
      </c>
      <c r="E3" s="30" t="inlineStr">
        <is>
          <t>{화면} 진입 &gt; {동작} 시, {결과} 안 됨</t>
        </is>
      </c>
      <c r="F3" s="30" t="inlineStr">
        <is>
          <t>Pre-condition: {사전 조건}
Reproduce Step: {재현 스텝}
Actual Result: {실제 결과}
Expected Result: {기대 결과}
QA Comment: {참고}</t>
        </is>
      </c>
      <c r="G3" s="29" t="inlineStr">
        <is>
          <t>High</t>
        </is>
      </c>
      <c r="H3" s="29" t="inlineStr">
        <is>
          <t>Always</t>
        </is>
      </c>
      <c r="I3" s="29" t="inlineStr"/>
      <c r="J3" s="29" t="inlineStr"/>
      <c r="K3" s="29" t="inlineStr"/>
      <c r="L3" s="29" t="inlineStr">
        <is>
          <t>PC웹</t>
        </is>
      </c>
      <c r="M3" s="29" t="inlineStr"/>
      <c r="N3" s="29" t="inlineStr"/>
      <c r="O3" s="29" t="inlineStr"/>
      <c r="P3" s="29" t="inlineStr"/>
      <c r="Q3" s="29" t="inlineStr"/>
      <c r="R3" s="29" t="inlineStr"/>
      <c r="S3" s="29" t="inlineStr">
        <is>
          <t>YYYY-MM-DD</t>
        </is>
      </c>
      <c r="T3" s="29" t="inlineStr">
        <is>
          <t>YYYY-MM-DD</t>
        </is>
      </c>
      <c r="U3" s="29" t="inlineStr">
        <is>
          <t>YYYY-MM-DD</t>
        </is>
      </c>
    </row>
  </sheetData>
  <autoFilter ref="B2:U3"/>
  <conditionalFormatting sqref="D3:D200">
    <cfRule type="cellIs" priority="1" operator="equal" dxfId="5">
      <formula>"Open"</formula>
    </cfRule>
    <cfRule type="cellIs" priority="2" operator="equal" dxfId="6">
      <formula>"In Progress"</formula>
    </cfRule>
    <cfRule type="cellIs" priority="3" operator="equal" dxfId="7">
      <formula>"Resolved"</formula>
    </cfRule>
    <cfRule type="cellIs" priority="4" operator="equal" dxfId="5">
      <formula>"Reopen"</formula>
    </cfRule>
    <cfRule type="cellIs" priority="5" operator="equal" dxfId="8">
      <formula>"Closed"</formula>
    </cfRule>
  </conditionalFormatting>
  <conditionalFormatting sqref="G3:G200">
    <cfRule type="cellIs" priority="6" operator="equal" dxfId="9">
      <formula>"High"</formula>
    </cfRule>
    <cfRule type="cellIs" priority="7" operator="equal" dxfId="10">
      <formula>"Medium"</formula>
    </cfRule>
    <cfRule type="cellIs" priority="8" operator="equal" dxfId="8">
      <formula>"Low"</formula>
    </cfRule>
  </conditionalFormatting>
  <dataValidations count="12">
    <dataValidation sqref="B3:B200" showDropDown="0" showInputMessage="0" showErrorMessage="0" allowBlank="1" type="list">
      <formula1>list_project</formula1>
    </dataValidation>
    <dataValidation sqref="D3:D200" showDropDown="0" showInputMessage="0" showErrorMessage="0" allowBlank="1" type="list">
      <formula1>list_status</formula1>
    </dataValidation>
    <dataValidation sqref="G3:G200" showDropDown="0" showInputMessage="0" showErrorMessage="0" allowBlank="1" type="list">
      <formula1>list_priority</formula1>
    </dataValidation>
    <dataValidation sqref="H3:H200" showDropDown="0" showInputMessage="0" showErrorMessage="0" allowBlank="1" type="list">
      <formula1>list_frequency</formula1>
    </dataValidation>
    <dataValidation sqref="I3:I200" showDropDown="0" showInputMessage="0" showErrorMessage="0" allowBlank="1" type="list">
      <formula1>list_version</formula1>
    </dataValidation>
    <dataValidation sqref="J3:J200" showDropDown="0" showInputMessage="0" showErrorMessage="0" allowBlank="1" type="list">
      <formula1>list_version</formula1>
    </dataValidation>
    <dataValidation sqref="K3:K200" showDropDown="0" showInputMessage="0" showErrorMessage="0" allowBlank="1" type="list">
      <formula1>list_resolution</formula1>
    </dataValidation>
    <dataValidation sqref="L3:L200" showDropDown="0" showInputMessage="0" showErrorMessage="0" allowBlank="1" type="list">
      <formula1>list_env</formula1>
    </dataValidation>
    <dataValidation sqref="M3:M200" showDropDown="0" showInputMessage="0" showErrorMessage="0" allowBlank="1" type="list">
      <formula1>list_label</formula1>
    </dataValidation>
    <dataValidation sqref="N3:N200" showDropDown="0" showInputMessage="0" showErrorMessage="0" allowBlank="1" type="list">
      <formula1>list_reporter</formula1>
    </dataValidation>
    <dataValidation sqref="O3:O200" showDropDown="0" showInputMessage="0" showErrorMessage="0" allowBlank="1" type="list">
      <formula1>list_assignee</formula1>
    </dataValidation>
    <dataValidation sqref="R3:R200" showDropDown="0" showInputMessage="0" showErrorMessage="0" allowBlank="1" type="list">
      <formula1>list_sprint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5" customWidth="1" min="3" max="3"/>
    <col width="14" customWidth="1" min="4" max="4"/>
    <col width="14" customWidth="1" min="5" max="5"/>
    <col width="23" customWidth="1" min="6" max="6"/>
    <col width="20" customWidth="1" min="7" max="7"/>
    <col width="14" customWidth="1" min="8" max="8"/>
    <col width="23" customWidth="1" min="9" max="9"/>
    <col width="14" customWidth="1" min="10" max="10"/>
    <col width="14" customWidth="1" min="11" max="11"/>
    <col width="14" customWidth="1" min="12" max="12"/>
  </cols>
  <sheetData>
    <row r="2">
      <c r="B2" s="31" t="inlineStr">
        <is>
          <t>프로젝트</t>
        </is>
      </c>
      <c r="C2" s="31" t="inlineStr">
        <is>
          <t>이슈 상태</t>
        </is>
      </c>
      <c r="D2" s="31" t="inlineStr">
        <is>
          <t>우선순위</t>
        </is>
      </c>
      <c r="E2" s="31" t="inlineStr">
        <is>
          <t>빈도</t>
        </is>
      </c>
      <c r="F2" s="31" t="inlineStr">
        <is>
          <t>버전(영향/수정 공용)</t>
        </is>
      </c>
      <c r="G2" s="31" t="inlineStr">
        <is>
          <t>해결책</t>
        </is>
      </c>
      <c r="H2" s="31" t="inlineStr">
        <is>
          <t>환경</t>
        </is>
      </c>
      <c r="I2" s="31" t="inlineStr">
        <is>
          <t>레이블</t>
        </is>
      </c>
      <c r="J2" s="31" t="inlineStr">
        <is>
          <t>보고자</t>
        </is>
      </c>
      <c r="K2" s="31" t="inlineStr">
        <is>
          <t>담당자</t>
        </is>
      </c>
      <c r="L2" s="31" t="inlineStr">
        <is>
          <t>스프린트</t>
        </is>
      </c>
    </row>
    <row r="3">
      <c r="B3" s="32" t="inlineStr">
        <is>
          <t>{프로젝트}</t>
        </is>
      </c>
      <c r="C3" s="32" t="inlineStr">
        <is>
          <t>Open</t>
        </is>
      </c>
      <c r="D3" s="32" t="inlineStr">
        <is>
          <t>High</t>
        </is>
      </c>
      <c r="E3" s="32" t="inlineStr">
        <is>
          <t>Always</t>
        </is>
      </c>
      <c r="F3" s="32" t="inlineStr">
        <is>
          <t>{디바이스}_{QA프로젝트}_RC1</t>
        </is>
      </c>
      <c r="G3" s="32" t="inlineStr">
        <is>
          <t>Fixed</t>
        </is>
      </c>
      <c r="H3" s="32" t="inlineStr">
        <is>
          <t>PC웹</t>
        </is>
      </c>
      <c r="I3" s="32" t="inlineStr">
        <is>
          <t>{기능 트리 1-Depth 영역명}</t>
        </is>
      </c>
      <c r="J3" s="32" t="inlineStr">
        <is>
          <t>{작성자}</t>
        </is>
      </c>
      <c r="K3" s="32" t="inlineStr">
        <is>
          <t>{담당자}</t>
        </is>
      </c>
      <c r="L3" s="32" t="inlineStr">
        <is>
          <t>{QA 프로젝트명}</t>
        </is>
      </c>
    </row>
    <row r="4">
      <c r="C4" s="32" t="inlineStr">
        <is>
          <t>In Progress</t>
        </is>
      </c>
      <c r="D4" s="32" t="inlineStr">
        <is>
          <t>Medium</t>
        </is>
      </c>
      <c r="E4" s="32" t="inlineStr">
        <is>
          <t>Often</t>
        </is>
      </c>
      <c r="G4" s="32" t="inlineStr">
        <is>
          <t>Won't Do</t>
        </is>
      </c>
      <c r="H4" s="32" t="inlineStr">
        <is>
          <t>Android</t>
        </is>
      </c>
    </row>
    <row r="5">
      <c r="C5" s="32" t="inlineStr">
        <is>
          <t>Resolved</t>
        </is>
      </c>
      <c r="D5" s="32" t="inlineStr">
        <is>
          <t>Low</t>
        </is>
      </c>
      <c r="E5" s="32" t="inlineStr">
        <is>
          <t>Sometimes</t>
        </is>
      </c>
      <c r="G5" s="32" t="inlineStr">
        <is>
          <t>Won't Fix</t>
        </is>
      </c>
      <c r="H5" s="32" t="inlineStr">
        <is>
          <t>iOS</t>
        </is>
      </c>
    </row>
    <row r="6">
      <c r="C6" s="32" t="inlineStr">
        <is>
          <t>Reopen</t>
        </is>
      </c>
      <c r="E6" s="32" t="inlineStr">
        <is>
          <t>Once</t>
        </is>
      </c>
      <c r="G6" s="32" t="inlineStr">
        <is>
          <t>Duplicate</t>
        </is>
      </c>
    </row>
    <row r="7">
      <c r="C7" s="32" t="inlineStr">
        <is>
          <t>Closed</t>
        </is>
      </c>
      <c r="G7" s="32" t="inlineStr">
        <is>
          <t>Incomplete</t>
        </is>
      </c>
    </row>
    <row r="8">
      <c r="G8" s="32" t="inlineStr">
        <is>
          <t>Cannot Reproduce</t>
        </is>
      </c>
    </row>
    <row r="9">
      <c r="G9" s="32" t="inlineStr">
        <is>
          <t>Done</t>
        </is>
      </c>
    </row>
    <row r="10">
      <c r="G10" s="32" t="inlineStr">
        <is>
          <t>Declined</t>
        </is>
      </c>
    </row>
  </sheetData>
  <conditionalFormatting sqref="C3:C20">
    <cfRule type="cellIs" priority="1" operator="equal" dxfId="5">
      <formula>"Open"</formula>
    </cfRule>
    <cfRule type="cellIs" priority="2" operator="equal" dxfId="6">
      <formula>"In Progress"</formula>
    </cfRule>
    <cfRule type="cellIs" priority="3" operator="equal" dxfId="7">
      <formula>"Resolved"</formula>
    </cfRule>
    <cfRule type="cellIs" priority="4" operator="equal" dxfId="5">
      <formula>"Reopen"</formula>
    </cfRule>
    <cfRule type="cellIs" priority="5" operator="equal" dxfId="8">
      <formula>"Closed"</formula>
    </cfRule>
  </conditionalFormatting>
  <conditionalFormatting sqref="D3:D20">
    <cfRule type="cellIs" priority="6" operator="equal" dxfId="9">
      <formula>"High"</formula>
    </cfRule>
    <cfRule type="cellIs" priority="7" operator="equal" dxfId="10">
      <formula>"Medium"</formula>
    </cfRule>
    <cfRule type="cellIs" priority="8" operator="equal" dxfId="8">
      <formula>"Low"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9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90" customWidth="1" min="4" max="4"/>
  </cols>
  <sheetData>
    <row r="2">
      <c r="B2" s="33" t="inlineStr">
        <is>
          <t>명세서 — 시트 규칙 정본</t>
        </is>
      </c>
    </row>
    <row r="3">
      <c r="B3" s="34" t="inlineStr">
        <is>
          <t>이 시트가 구조 규칙의 정본입니다. rules/tc-sheet-format.md와 짝으로 교차 검증하며, 불일치 발견 시 임의 판단 없이 사용자에게 기준을 확인합니다. 서식(색·테두리·폰트)의 정본은 design-template/xlsx-design-guide.md입니다.</t>
        </is>
      </c>
    </row>
    <row r="5">
      <c r="B5" s="19" t="inlineStr">
        <is>
          <t>1. 시트 구성</t>
        </is>
      </c>
    </row>
    <row r="6">
      <c r="B6" s="31" t="inlineStr">
        <is>
          <t>시트</t>
        </is>
      </c>
      <c r="C6" s="31" t="inlineStr">
        <is>
          <t>역할</t>
        </is>
      </c>
    </row>
    <row r="7">
      <c r="B7" s="30" t="inlineStr">
        <is>
          <t>Test Case</t>
        </is>
      </c>
      <c r="C7" s="30" t="inlineStr">
        <is>
          <t>TC 작성과 실행 기록. 노란 셀은 실행 단계에서 채워집니다</t>
        </is>
      </c>
    </row>
    <row r="8">
      <c r="B8" s="30" t="inlineStr">
        <is>
          <t>Summary</t>
        </is>
      </c>
      <c r="C8" s="30" t="inlineStr">
        <is>
          <t>행 단위 자동 집계(1-Depth 기준). 기준 골격 버전(C4)은 생성 시 자동 기입됩니다</t>
        </is>
      </c>
    </row>
    <row r="9">
      <c r="B9" s="30" t="inlineStr">
        <is>
          <t>이슈 관리 시트</t>
        </is>
      </c>
      <c r="C9" s="30" t="inlineStr">
        <is>
          <t>결함 기록(내장 운영, JIRA 미사용) — JIRA 이슈 등록·관리 방식을 시트로 표현. Issue No.로 Test Case와 연결합니다. 정본은 별도 파일 test-case/{프로젝트}-issues.json이며 이 시트는 그 파생입니다</t>
        </is>
      </c>
    </row>
    <row r="10">
      <c r="B10" s="30" t="inlineStr">
        <is>
          <t>목록</t>
        </is>
      </c>
      <c r="C10" s="30" t="inlineStr">
        <is>
          <t>드롭다운 참조 목록의 정본. 숨기지 않고 맨 뒤에 둡니다</t>
        </is>
      </c>
    </row>
    <row r="11">
      <c r="B11" s="30" t="inlineStr">
        <is>
          <t>명세서</t>
        </is>
      </c>
      <c r="C11" s="30" t="inlineStr">
        <is>
          <t>이 시트 — 구조 규칙의 정본</t>
        </is>
      </c>
    </row>
    <row r="13">
      <c r="B13" s="19" t="inlineStr">
        <is>
          <t>2. 컬럼 정의 (Test Case)</t>
        </is>
      </c>
    </row>
    <row r="14">
      <c r="B14" s="31" t="inlineStr">
        <is>
          <t>컬럼</t>
        </is>
      </c>
      <c r="C14" s="31" t="inlineStr">
        <is>
          <t>내용</t>
        </is>
      </c>
      <c r="D14" s="31" t="inlineStr">
        <is>
          <t>채우는 규칙</t>
        </is>
      </c>
    </row>
    <row r="15">
      <c r="B15" s="30" t="inlineStr">
        <is>
          <t>No</t>
        </is>
      </c>
      <c r="C15" s="30" t="inlineStr">
        <is>
          <t>행 번호</t>
        </is>
      </c>
      <c r="D15" s="30" t="inlineStr">
        <is>
          <t>자동(ROW()-10). 직접 입력하지 않습니다</t>
        </is>
      </c>
    </row>
    <row r="16">
      <c r="B16" s="30" t="inlineStr">
        <is>
          <t>1~7-Depth</t>
        </is>
      </c>
      <c r="C16" s="30" t="inlineStr">
        <is>
          <t>기능 계층</t>
        </is>
      </c>
      <c r="D16" s="30" t="inlineStr">
        <is>
          <t>스텝 행마다 반복. 의미 있는 깊이까지만 쓰고 나머지는 빈칸</t>
        </is>
      </c>
    </row>
    <row r="17">
      <c r="B17" s="30" t="inlineStr">
        <is>
          <t>Pre-Condition</t>
        </is>
      </c>
      <c r="C17" s="30" t="inlineStr">
        <is>
          <t>사전조건</t>
        </is>
      </c>
      <c r="D17" s="30" t="inlineStr">
        <is>
          <t>TN 1행에 케이스 진입 조건. 중간 스텝에 앞 스텝이 만들지 못하는 새 상태(시간 경과·외부 변화 등)가 필요하면 그 행에도 적습니다 — 앞 스텝의 결과로 성립한 상태는 제외</t>
        </is>
      </c>
    </row>
    <row r="18">
      <c r="B18" s="30" t="inlineStr">
        <is>
          <t>TN</t>
        </is>
      </c>
      <c r="C18" s="30" t="inlineStr">
        <is>
          <t>스텝 번호</t>
        </is>
      </c>
      <c r="D18" s="30" t="inlineStr">
        <is>
          <t>케이스마다 1부터. 새 케이스가 시작되면 1로 복귀</t>
        </is>
      </c>
    </row>
    <row r="19">
      <c r="B19" s="30" t="inlineStr">
        <is>
          <t>Test-Step</t>
        </is>
      </c>
      <c r="C19" s="30" t="inlineStr">
        <is>
          <t>수행 동작</t>
        </is>
      </c>
      <c r="D19" s="30" t="inlineStr">
        <is>
          <t>「~한다」 체</t>
        </is>
      </c>
    </row>
    <row r="20">
      <c r="B20" s="30" t="inlineStr">
        <is>
          <t>Expected-Result</t>
        </is>
      </c>
      <c r="C20" s="30" t="inlineStr">
        <is>
          <t>기대 결과</t>
        </is>
      </c>
      <c r="D20" s="30" t="inlineStr">
        <is>
          <t>「~된다」 체. 판정 가능한 문장 — 임계·합격선·시도 횟수는 문장 안에 숫자로</t>
        </is>
      </c>
    </row>
    <row r="21">
      <c r="B21" s="30" t="inlineStr">
        <is>
          <t>Priority</t>
        </is>
      </c>
      <c r="C21" s="30" t="inlineStr">
        <is>
          <t>우선순위</t>
        </is>
      </c>
      <c r="D21" s="30" t="inlineStr">
        <is>
          <t>스텝 행마다 반복. High/Medium/Low — 케이스의 속성이지만 Summary가 행 단위로 집계하므로 행마다 값을 둡니다</t>
        </is>
      </c>
    </row>
    <row r="22">
      <c r="B22" s="30" t="inlineStr">
        <is>
          <t>Total Result</t>
        </is>
      </c>
      <c r="C22" s="30" t="inlineStr">
        <is>
          <t>케이스 판정</t>
        </is>
      </c>
      <c r="D22" s="30" t="inlineStr">
        <is>
          <t>수식 열. 케이스 행 범위를 세로 병합하며 직접 입력하지 않습니다</t>
        </is>
      </c>
    </row>
    <row r="23">
      <c r="B23" s="30" t="inlineStr">
        <is>
          <t>Result</t>
        </is>
      </c>
      <c r="C23" s="30" t="inlineStr">
        <is>
          <t>스텝 실행 결과</t>
        </is>
      </c>
      <c r="D23" s="30" t="inlineStr">
        <is>
          <t>드롭다운 4종(아래 상태값 정의). 실행 단계에서 채움 — 노란 셀</t>
        </is>
      </c>
    </row>
    <row r="24">
      <c r="B24" s="30" t="inlineStr">
        <is>
          <t>Issue No.</t>
        </is>
      </c>
      <c r="C24" s="30" t="inlineStr">
        <is>
          <t>이슈 연결</t>
        </is>
      </c>
      <c r="D24" s="30" t="inlineStr">
        <is>
          <t>이슈 관리 시트의 Issue No. 실행 단계에서 채움 — 노란 셀</t>
        </is>
      </c>
    </row>
    <row r="25">
      <c r="B25" s="30" t="inlineStr">
        <is>
          <t>Comment</t>
        </is>
      </c>
      <c r="C25" s="30" t="inlineStr">
        <is>
          <t>수행 중 기록</t>
        </is>
      </c>
      <c r="D25" s="30" t="inlineStr">
        <is>
          <t>TC를 수행하다 생긴 문제·관찰을 실행 단계에서 적습니다 — 노란 셀. 설계 시점에는 비어 있습니다</t>
        </is>
      </c>
    </row>
    <row r="26">
      <c r="B26" s="30" t="inlineStr">
        <is>
          <t>Note</t>
        </is>
      </c>
      <c r="C26" s="30" t="inlineStr">
        <is>
          <t>수행 전 참고사항</t>
        </is>
      </c>
      <c r="D26" s="30" t="inlineStr">
        <is>
          <t>TC를 수행하기 전에 알아야 할 것을 전부 모읍니다 — 케이스 메타(TC ID · 실행 단계 · 선행 TC · 대상)와 검증유형·판정 규칙·주의사항</t>
        </is>
      </c>
    </row>
    <row r="27">
      <c r="B27" s="30" t="inlineStr">
        <is>
          <t>Test Case Edit</t>
        </is>
      </c>
      <c r="C27" s="30" t="inlineStr">
        <is>
          <t>편집 이력</t>
        </is>
      </c>
      <c r="D27" s="30" t="inlineStr">
        <is>
          <t>자유 기재</t>
        </is>
      </c>
    </row>
    <row r="29">
      <c r="B29" s="19" t="inlineStr">
        <is>
          <t>3. 상태값 정의</t>
        </is>
      </c>
    </row>
    <row r="30">
      <c r="B30" s="31" t="inlineStr">
        <is>
          <t>상태</t>
        </is>
      </c>
      <c r="C30" s="31" t="inlineStr">
        <is>
          <t>정의</t>
        </is>
      </c>
      <c r="D30" s="31" t="inlineStr">
        <is>
          <t>Pass율 분모</t>
        </is>
      </c>
    </row>
    <row r="31">
      <c r="B31" s="30" t="inlineStr">
        <is>
          <t>Pass</t>
        </is>
      </c>
      <c r="C31" s="30" t="inlineStr">
        <is>
          <t>성공</t>
        </is>
      </c>
      <c r="D31" s="30" t="inlineStr">
        <is>
          <t>포함</t>
        </is>
      </c>
    </row>
    <row r="32">
      <c r="B32" s="30" t="inlineStr">
        <is>
          <t>Fail</t>
        </is>
      </c>
      <c r="C32" s="30" t="inlineStr">
        <is>
          <t>실패</t>
        </is>
      </c>
      <c r="D32" s="30" t="inlineStr">
        <is>
          <t>포함</t>
        </is>
      </c>
    </row>
    <row r="33">
      <c r="B33" s="30" t="inlineStr">
        <is>
          <t>NI</t>
        </is>
      </c>
      <c r="C33" s="30" t="inlineStr">
        <is>
          <t>미구현이거나 스펙에 없어 실행 대상이 아님 (Not Implemented)</t>
        </is>
      </c>
      <c r="D33" s="30" t="inlineStr">
        <is>
          <t>제외</t>
        </is>
      </c>
    </row>
    <row r="34">
      <c r="B34" s="30" t="inlineStr">
        <is>
          <t>Blocked</t>
        </is>
      </c>
      <c r="C34" s="30" t="inlineStr">
        <is>
          <t>기능은 구현됐으나 선행 TC의 Fail로 확인 불가</t>
        </is>
      </c>
      <c r="D34" s="30" t="inlineStr">
        <is>
          <t>제외</t>
        </is>
      </c>
    </row>
    <row r="35">
      <c r="B35" s="34" t="inlineStr">
        <is>
          <t>Pass율 = Pass ÷ (Pass + Fail). NI·Blocked를 분모에 넣지 않는 이유는 결함 1건이 후속 Blocked 수만큼 중복 계상되는 것을 막기 위해서입니다.</t>
        </is>
      </c>
    </row>
    <row r="37">
      <c r="B37" s="19" t="inlineStr">
        <is>
          <t>4. Total Result 규칙</t>
        </is>
      </c>
    </row>
    <row r="38">
      <c r="B38" s="31" t="inlineStr">
        <is>
          <t>항목</t>
        </is>
      </c>
      <c r="C38" s="31" t="inlineStr">
        <is>
          <t>규칙</t>
        </is>
      </c>
    </row>
    <row r="39">
      <c r="B39" s="30" t="inlineStr">
        <is>
          <t>우선순위</t>
        </is>
      </c>
      <c r="C39" s="30" t="inlineStr">
        <is>
          <t>Fail &gt; Blocked &gt; NI &gt; Pass — 스텝 중 하나라도 Fail이면 케이스 Fail</t>
        </is>
      </c>
    </row>
    <row r="40">
      <c r="B40" s="30" t="inlineStr">
        <is>
          <t>수식 원형</t>
        </is>
      </c>
      <c r="C40" s="30" t="inlineStr">
        <is>
          <t>IF(COUNTIF(범위,"Fail")&gt;0,"Fail",IF(COUNTIF(범위,"Blocked")&gt;0,"Blocked",IF(COUNTIF(범위,"NI")&gt;0,"NI",IF(COUNTIF(범위,"Pass")&gt;0,"Pass","")))) — 셀에는 앞에 = 를 붙여 사용합니다. 아무것도 실행되지 않은 케이스는 빈칸입니다</t>
        </is>
      </c>
    </row>
    <row r="41">
      <c r="B41" s="30" t="inlineStr">
        <is>
          <t>병합</t>
        </is>
      </c>
      <c r="C41" s="30" t="inlineStr">
        <is>
          <t>케이스의 스텝 행 범위를 플랫폼 열마다 세로 병합</t>
        </is>
      </c>
    </row>
    <row r="43">
      <c r="B43" s="19" t="inlineStr">
        <is>
          <t>5. TC ID 체계</t>
        </is>
      </c>
    </row>
    <row r="44">
      <c r="B44" s="31" t="inlineStr">
        <is>
          <t>항목</t>
        </is>
      </c>
      <c r="C44" s="31" t="inlineStr">
        <is>
          <t>규칙</t>
        </is>
      </c>
    </row>
    <row r="45">
      <c r="B45" s="30" t="inlineStr">
        <is>
          <t>형식</t>
        </is>
      </c>
      <c r="C45" s="30" t="inlineStr">
        <is>
          <t>TC-{영역코드}-{번호 3자리} — 예: TC-ENT-001</t>
        </is>
      </c>
    </row>
    <row r="46">
      <c r="B46" s="30" t="inlineStr">
        <is>
          <t>번호</t>
        </is>
      </c>
      <c r="C46" s="30" t="inlineStr">
        <is>
          <t>영역 안에서만 증가합니다. 다른 영역에 케이스가 추가돼도 기존 ID가 흔들리지 않습니다</t>
        </is>
      </c>
    </row>
    <row r="47">
      <c r="B47" s="30" t="inlineStr">
        <is>
          <t>영역코드</t>
        </is>
      </c>
      <c r="C47" s="30" t="inlineStr">
        <is>
          <t>기능 트리 1-Depth당 하나. 매핑표는 프로젝트 시트에서 정의합니다 (예: 앱 진입=ENT)</t>
        </is>
      </c>
    </row>
    <row r="48">
      <c r="B48" s="30" t="inlineStr">
        <is>
          <t>기재 위치</t>
        </is>
      </c>
      <c r="C48" s="30" t="inlineStr">
        <is>
          <t>Comment의 첫 토큰. 자동화 케이스명·추적 매트릭스·이슈 연결이 이 ID를 참조합니다</t>
        </is>
      </c>
    </row>
    <row r="50">
      <c r="B50" s="19" t="inlineStr">
        <is>
          <t>6. 플랫폼 열 규칙</t>
        </is>
      </c>
    </row>
    <row r="51">
      <c r="B51" s="31" t="inlineStr">
        <is>
          <t>항목</t>
        </is>
      </c>
      <c r="C51" s="31" t="inlineStr">
        <is>
          <t>규칙</t>
        </is>
      </c>
    </row>
    <row r="52">
      <c r="B52" s="30" t="inlineStr">
        <is>
          <t>기본값</t>
        </is>
      </c>
      <c r="C52" s="30" t="inlineStr">
        <is>
          <t>마스터는 Web / And / iOS 3열</t>
        </is>
      </c>
    </row>
    <row r="53">
      <c r="B53" s="30" t="inlineStr">
        <is>
          <t>프로젝트 조정</t>
        </is>
      </c>
      <c r="C53" s="30" t="inlineStr">
        <is>
          <t>TC 설계 시작 시 대상 플랫폼을 사용자에게 재확인하고, Test Case의 Total Result·Result 하위 열과 Summary의 플랫폼 열을 함께 조정합니다</t>
        </is>
      </c>
    </row>
    <row r="55">
      <c r="B55" s="19" t="inlineStr">
        <is>
          <t>7. 입력 규칙</t>
        </is>
      </c>
    </row>
    <row r="56">
      <c r="B56" s="31" t="inlineStr">
        <is>
          <t>항목</t>
        </is>
      </c>
      <c r="C56" s="31" t="inlineStr">
        <is>
          <t>규칙</t>
        </is>
      </c>
    </row>
    <row r="57">
      <c r="B57" s="30" t="inlineStr">
        <is>
          <t>실행 채움 셀(노랑)</t>
        </is>
      </c>
      <c r="C57" s="30" t="inlineStr">
        <is>
          <t>설계 시점에는 비어 있고 실행 단계에서 채워지는 칸 — 환경 블록·Result·Issue No. 채우는 주체가 사람이든 자동화든 설계자는 건드리지 않습니다</t>
        </is>
      </c>
    </row>
    <row r="58">
      <c r="B58" s="30" t="inlineStr">
        <is>
          <t>설계 셀</t>
        </is>
      </c>
      <c r="C58" s="30" t="inlineStr">
        <is>
          <t>Depth·절차·기대결과는 실행 중 수정하지 않습니다</t>
        </is>
      </c>
    </row>
    <row r="59">
      <c r="B59" s="30" t="inlineStr">
        <is>
          <t>기준 골격 버전</t>
        </is>
      </c>
      <c r="C59" s="30" t="inlineStr">
        <is>
          <t>Summary C4에 생성 스크립트가 자동 기입합니다 — 형식 {프로젝트}-tree-v{X.Y}. TC 설계 입력(tc-input json)의 값을 그대로 쓰므로 사람이 옮겨 적지 않습니다</t>
        </is>
      </c>
    </row>
    <row r="61">
      <c r="B61" s="19" t="inlineStr">
        <is>
          <t>8. 컬럼 정의 (이슈 관리 시트)</t>
        </is>
      </c>
    </row>
    <row r="62">
      <c r="B62" s="34" t="inlineStr">
        <is>
          <t>이슈 기록의 정본은 test-case/{프로젝트}-issues.json입니다. TC 설계 원본과 파일을 나눈 이유는 크기가 아니라 생명주기입니다 — TC 세트는 확정되면 고정되지만 이슈는 실행하면서 계속 늘고 상태가 바뀌므로, 한 파일에 두면 이슈 갱신 때마다 설계 원본이 변경되어 확정 시점이 흐려집니다.</t>
        </is>
      </c>
    </row>
    <row r="63">
      <c r="B63" s="31" t="inlineStr">
        <is>
          <t>컬럼</t>
        </is>
      </c>
      <c r="C63" s="31" t="inlineStr">
        <is>
          <t>내용</t>
        </is>
      </c>
      <c r="D63" s="31" t="inlineStr">
        <is>
          <t>채우는 규칙</t>
        </is>
      </c>
    </row>
    <row r="64">
      <c r="B64" s="30" t="inlineStr">
        <is>
          <t>프로젝트 ID</t>
        </is>
      </c>
      <c r="C64" s="30" t="inlineStr">
        <is>
          <t>프로젝트 식별자</t>
        </is>
      </c>
      <c r="D64" s="30" t="inlineStr">
        <is>
          <t>SUT명 기준. 목록 시트 참조</t>
        </is>
      </c>
    </row>
    <row r="65">
      <c r="B65" s="30" t="inlineStr">
        <is>
          <t>Issue No.</t>
        </is>
      </c>
      <c r="C65" s="30" t="inlineStr">
        <is>
          <t>이슈 ID — TC 연결 키</t>
        </is>
      </c>
      <c r="D65" s="30" t="inlineStr">
        <is>
          <t>{프로젝트}-{생성 번호순} (1 &gt; 2 &gt; 3 &gt; …). Test Case 시트의 Issue No.와 같은 값으로 연결됩니다</t>
        </is>
      </c>
    </row>
    <row r="66">
      <c r="B66" s="30" t="inlineStr">
        <is>
          <t>이슈 상태</t>
        </is>
      </c>
      <c r="C66" s="30" t="inlineStr">
        <is>
          <t>이슈의 현재 상태</t>
        </is>
      </c>
      <c r="D66" s="30" t="inlineStr">
        <is>
          <t>Open: 열린 상태(재현됨) / In Progress: 담당자가 수정 진행 중 / Resolved: 해결됨 / Reopen: 해결된 이슈가 재현되어 다시 엶 / Closed: 재현되지 않아 닫음</t>
        </is>
      </c>
    </row>
    <row r="67">
      <c r="B67" s="30" t="inlineStr">
        <is>
          <t>요약(Summary)</t>
        </is>
      </c>
      <c r="C67" s="30" t="inlineStr">
        <is>
          <t>이슈 제목</t>
        </is>
      </c>
      <c r="D67" s="30" t="inlineStr">
        <is>
          <t>재현 경로 요약 — 문단 구분은 "&gt;", 마지막은 무엇이 잘못됐는지 수동태로.
ex) rules/ 폴더 이동 &gt; A.md 실행 시, 크래시 발생됨</t>
        </is>
      </c>
    </row>
    <row r="68">
      <c r="B68" s="30" t="inlineStr">
        <is>
          <t>설명</t>
        </is>
      </c>
      <c r="C68" s="30" t="inlineStr">
        <is>
          <t>재현 방법 상세</t>
        </is>
      </c>
      <c r="D68" s="30" t="inlineStr">
        <is>
          <t>Pre-condition(사전 조건) / Reproduce Step(재현 스텝) / Actual Result(실제 결과, ~됨) / Expected Result(기대 결과, ~되어야 함) / QA Comment(참고) 순서로 작성</t>
        </is>
      </c>
    </row>
    <row r="69">
      <c r="B69" s="30" t="inlineStr">
        <is>
          <t>우선순위</t>
        </is>
      </c>
      <c r="C69" s="30" t="inlineStr">
        <is>
          <t>이슈 심각도</t>
        </is>
      </c>
      <c r="D69" s="30" t="inlineStr">
        <is>
          <t>High: 크래시·진입 불가 등 치명 / Medium: 진입은 되나 기능 미동작 / Low: 문구·표기 오류</t>
        </is>
      </c>
    </row>
    <row r="70">
      <c r="B70" s="30" t="inlineStr">
        <is>
          <t>빈도</t>
        </is>
      </c>
      <c r="C70" s="30" t="inlineStr">
        <is>
          <t>발생 빈도</t>
        </is>
      </c>
      <c r="D70" s="30" t="inlineStr">
        <is>
          <t>Always: 항상 / Often: 종종(70% 이상) / Sometimes: 가끔(70% 미만) / Once: 1회만</t>
        </is>
      </c>
    </row>
    <row r="71">
      <c r="B71" s="30" t="inlineStr">
        <is>
          <t>영향 받는 버전</t>
        </is>
      </c>
      <c r="C71" s="30" t="inlineStr">
        <is>
          <t>이슈 발생 버전</t>
        </is>
      </c>
      <c r="D71" s="30" t="inlineStr">
        <is>
          <t>{발생디바이스}_{QA프로젝트}_{실행버전후보} — RC=Release Candidate(정식 배포 직전 빌드).
ex) PC웹_Ver1.0_RC2. 목록 시트 참조(수정 버전과 공용).
SUT를 직접 만드는 프로젝트는 화면 슬라이스마다 RC를 올리고 그 값을 SUT 푸터에 표시합니다. RC 이전 개발 단계에서 발견한 것은 DEV로 적습니다</t>
        </is>
      </c>
    </row>
    <row r="72">
      <c r="B72" s="30" t="inlineStr">
        <is>
          <t>수정 버전</t>
        </is>
      </c>
      <c r="C72" s="30" t="inlineStr">
        <is>
          <t>이슈가 수정된 버전</t>
        </is>
      </c>
      <c r="D72" s="30" t="inlineStr">
        <is>
          <t>영향 받는 버전과 같은 목록을 사용합니다</t>
        </is>
      </c>
    </row>
    <row r="73">
      <c r="B73" s="30" t="inlineStr">
        <is>
          <t>해결책</t>
        </is>
      </c>
      <c r="C73" s="30" t="inlineStr">
        <is>
          <t>수정 방향</t>
        </is>
      </c>
      <c r="D73" s="30" t="inlineStr">
        <is>
          <t>Fixed: 코드 수정으로 대응 / Won't Do: 환경·기술 지원 불가로 미대응 / Won't Fix: 수정 필요하나 지금은 안 함 / Duplicate: 동일 건 존재 / Incomplete: 이슈 자체가 잘못됨 / Cannot Reproduce: 재현 불가 / Done: 기획·정책 결정으로 이슈 아님 확정 / Declined(QA Only): QA선에서 이슈로 보지 않음</t>
        </is>
      </c>
    </row>
    <row r="74">
      <c r="B74" s="30" t="inlineStr">
        <is>
          <t>환경</t>
        </is>
      </c>
      <c r="C74" s="30" t="inlineStr">
        <is>
          <t>발생 디바이스</t>
        </is>
      </c>
      <c r="D74" s="30" t="inlineStr">
        <is>
          <t>PC웹 / Android / iOS</t>
        </is>
      </c>
    </row>
    <row r="75">
      <c r="B75" s="30" t="inlineStr">
        <is>
          <t>레이블</t>
        </is>
      </c>
      <c r="C75" s="30" t="inlineStr">
        <is>
          <t>발생 영역</t>
        </is>
      </c>
      <c r="D75" s="30" t="inlineStr">
        <is>
          <t>기능 트리 1-Depth 영역명 — 목록 시트 참조. 트리 개정 시 목록만 갱신하고 기존 행 값은 소급 변경하지 않습니다</t>
        </is>
      </c>
    </row>
    <row r="76">
      <c r="B76" s="30" t="inlineStr">
        <is>
          <t>보고자</t>
        </is>
      </c>
      <c r="C76" s="30" t="inlineStr">
        <is>
          <t>이슈 등록자</t>
        </is>
      </c>
      <c r="D76" s="30" t="inlineStr">
        <is>
          <t>목록 참조</t>
        </is>
      </c>
    </row>
    <row r="77">
      <c r="B77" s="30" t="inlineStr">
        <is>
          <t>담당자</t>
        </is>
      </c>
      <c r="C77" s="30" t="inlineStr">
        <is>
          <t>이슈 수정 담당자</t>
        </is>
      </c>
      <c r="D77" s="30" t="inlineStr">
        <is>
          <t>목록 참조</t>
        </is>
      </c>
    </row>
    <row r="78">
      <c r="B78" s="30" t="inlineStr">
        <is>
          <t>관측자</t>
        </is>
      </c>
      <c r="C78" s="30" t="inlineStr">
        <is>
          <t>함께 팔로우할 인원</t>
        </is>
      </c>
      <c r="D78" s="30" t="inlineStr">
        <is>
          <t>드롭다운 없음 — 쉼표 구분 자유 입력(멀티 선택은 xlsx 표준 기능에 없음)</t>
        </is>
      </c>
    </row>
    <row r="79">
      <c r="B79" s="30" t="inlineStr">
        <is>
          <t>첨부파일</t>
        </is>
      </c>
      <c r="C79" s="30" t="inlineStr">
        <is>
          <t>재현 증적</t>
        </is>
      </c>
      <c r="D79" s="30" t="inlineStr">
        <is>
          <t>재현 영상·이미지의 경로 또는 링크</t>
        </is>
      </c>
    </row>
    <row r="80">
      <c r="B80" s="30" t="inlineStr">
        <is>
          <t>스프린트</t>
        </is>
      </c>
      <c r="C80" s="30" t="inlineStr">
        <is>
          <t>QA 프로젝트 명칭</t>
        </is>
      </c>
      <c r="D80" s="30" t="inlineStr">
        <is>
          <t>어떤 목표로 QA를 진행하는지. ex) PC웹 Ver1.0. 목록 참조</t>
        </is>
      </c>
    </row>
    <row r="81">
      <c r="B81" s="30" t="inlineStr">
        <is>
          <t>이슈 등록일</t>
        </is>
      </c>
      <c r="C81" s="30" t="inlineStr">
        <is>
          <t>최초 등록일</t>
        </is>
      </c>
      <c r="D81" s="30" t="inlineStr">
        <is>
          <t>YYYY-MM-DD. 이후 변경하지 않습니다</t>
        </is>
      </c>
    </row>
    <row r="82">
      <c r="B82" s="30" t="inlineStr">
        <is>
          <t>이슈 최종 수정일자</t>
        </is>
      </c>
      <c r="C82" s="30" t="inlineStr">
        <is>
          <t>내용 최종 수정일</t>
        </is>
      </c>
      <c r="D82" s="30" t="inlineStr">
        <is>
          <t>YYYY-MM-DD. 요약·설명 등 내용이 바뀔 때 갱신</t>
        </is>
      </c>
    </row>
    <row r="83">
      <c r="B83" s="30" t="inlineStr">
        <is>
          <t>이슈 상태 최종 변경일자</t>
        </is>
      </c>
      <c r="C83" s="30" t="inlineStr">
        <is>
          <t>상태 최종 변경일</t>
        </is>
      </c>
      <c r="D83" s="30" t="inlineStr">
        <is>
          <t>YYYY-MM-DD. 이슈 상태가 바뀔 때 갱신</t>
        </is>
      </c>
    </row>
    <row r="85">
      <c r="B85" s="19" t="inlineStr">
        <is>
          <t>9. 목록 시트 규칙</t>
        </is>
      </c>
    </row>
    <row r="86">
      <c r="B86" s="31" t="inlineStr">
        <is>
          <t>항목</t>
        </is>
      </c>
      <c r="C86" s="31" t="inlineStr">
        <is>
          <t>규칙</t>
        </is>
      </c>
    </row>
    <row r="87">
      <c r="B87" s="30" t="inlineStr">
        <is>
          <t>지위</t>
        </is>
      </c>
      <c r="C87" s="30" t="inlineStr">
        <is>
          <t>드롭다운 참조의 정본 — 전 시트의 데이터 검증이 이 시트를 참조합니다</t>
        </is>
      </c>
    </row>
    <row r="88">
      <c r="B88" s="30" t="inlineStr">
        <is>
          <t>노출</t>
        </is>
      </c>
      <c r="C88" s="30" t="inlineStr">
        <is>
          <t>숨기지 않고 맨 뒤 배치 — 값 체계 자체가 전시물입니다</t>
        </is>
      </c>
    </row>
    <row r="89">
      <c r="B89" s="30" t="inlineStr">
        <is>
          <t>갱신</t>
        </is>
      </c>
      <c r="C89" s="30" t="inlineStr">
        <is>
          <t>항목 추가는 행 추가로. 명칭 변경은 목록만 교체하고 기존 데이터 행은 소급 변경하지 않습니다(검증은 신규 입력에만 작동)</t>
        </is>
      </c>
    </row>
    <row r="90">
      <c r="B90" s="30" t="inlineStr">
        <is>
          <t>레이블 동기</t>
        </is>
      </c>
      <c r="C90" s="30" t="inlineStr">
        <is>
          <t>기능 트리 개정 시 레이블 목록을 함께 갱신합니다(정본 수정 체크리스트 연동)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2026-08-02T07:41:59Z</dcterms:created>
  <dcterms:modified xsi:type="dcterms:W3CDTF">2026-08-02T07:41:59Z</dcterms:modified>
</cp:coreProperties>
</file>