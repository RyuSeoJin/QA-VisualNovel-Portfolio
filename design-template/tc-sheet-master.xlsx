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RecordTales\AppData\Local\Temp\claude\C--Users-RecordTales--claude\e63a9d1e-0291-46d5-b896-842e6b578835\scratchpad\"/>
    </mc:Choice>
  </mc:AlternateContent>
  <xr:revisionPtr revIDLastSave="0" documentId="13_ncr:1_{35BADA0E-47E5-4A85-9343-0EBAC608CD37}" xr6:coauthVersionLast="47" xr6:coauthVersionMax="47" xr10:uidLastSave="{00000000-0000-0000-0000-000000000000}"/>
  <bookViews>
    <workbookView xWindow="30612" yWindow="-108" windowWidth="30936" windowHeight="16776" xr2:uid="{00000000-000D-0000-FFFF-FFFF00000000}"/>
  </bookViews>
  <sheets>
    <sheet name="Test Case" sheetId="1" r:id="rId1"/>
    <sheet name="Summary" sheetId="2" r:id="rId2"/>
    <sheet name="명세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" i="3" l="1"/>
  <c r="Q9" i="2"/>
  <c r="P9" i="2"/>
  <c r="O9" i="2"/>
  <c r="R9" i="2" s="1"/>
  <c r="M9" i="2"/>
  <c r="L9" i="2"/>
  <c r="K9" i="2"/>
  <c r="N9" i="2" s="1"/>
  <c r="I9" i="2"/>
  <c r="H9" i="2"/>
  <c r="G9" i="2"/>
  <c r="J9" i="2" s="1"/>
  <c r="F9" i="2"/>
  <c r="E9" i="2"/>
  <c r="D9" i="2"/>
  <c r="C9" i="2"/>
  <c r="Q8" i="2"/>
  <c r="P8" i="2"/>
  <c r="O8" i="2"/>
  <c r="M8" i="2"/>
  <c r="L8" i="2"/>
  <c r="K8" i="2"/>
  <c r="I8" i="2"/>
  <c r="H8" i="2"/>
  <c r="G8" i="2"/>
  <c r="J8" i="2" s="1"/>
  <c r="F8" i="2"/>
  <c r="E8" i="2"/>
  <c r="D8" i="2"/>
  <c r="C8" i="2"/>
  <c r="F7" i="2"/>
  <c r="E7" i="2"/>
  <c r="E10" i="2" s="1"/>
  <c r="D7" i="2"/>
  <c r="D10" i="2" s="1"/>
  <c r="C7" i="2"/>
  <c r="C10" i="2" s="1"/>
  <c r="B14" i="1"/>
  <c r="Q13" i="1"/>
  <c r="P13" i="1"/>
  <c r="O13" i="1"/>
  <c r="B13" i="1"/>
  <c r="B12" i="1"/>
  <c r="Q11" i="1"/>
  <c r="P11" i="1"/>
  <c r="K7" i="2" s="1"/>
  <c r="O11" i="1"/>
  <c r="B11" i="1"/>
  <c r="R8" i="2" l="1"/>
  <c r="N8" i="2"/>
  <c r="F10" i="2"/>
  <c r="O7" i="2"/>
  <c r="Q7" i="2"/>
  <c r="Q10" i="2" s="1"/>
  <c r="P7" i="2"/>
  <c r="K10" i="2"/>
  <c r="O10" i="2"/>
  <c r="L7" i="2"/>
  <c r="M7" i="2"/>
  <c r="M10" i="2" s="1"/>
  <c r="I7" i="2"/>
  <c r="I10" i="2" s="1"/>
  <c r="H7" i="2"/>
  <c r="H10" i="2" s="1"/>
  <c r="G7" i="2"/>
  <c r="P10" i="2" l="1"/>
  <c r="R7" i="2"/>
  <c r="R10" i="2"/>
  <c r="J7" i="2"/>
  <c r="G10" i="2"/>
  <c r="J10" i="2"/>
  <c r="L10" i="2"/>
  <c r="N7" i="2"/>
  <c r="N10" i="2"/>
</calcChain>
</file>

<file path=xl/sharedStrings.xml><?xml version="1.0" encoding="utf-8"?>
<sst xmlns="http://schemas.openxmlformats.org/spreadsheetml/2006/main" count="205" uniqueCount="148">
  <si>
    <t>Test Case Template</t>
  </si>
  <si>
    <t>No</t>
  </si>
  <si>
    <t>1-Depth</t>
  </si>
  <si>
    <t>2-Depth</t>
  </si>
  <si>
    <t>3-Depth</t>
  </si>
  <si>
    <t>4-Depth</t>
  </si>
  <si>
    <t>5-Depth</t>
  </si>
  <si>
    <t>6-Depth</t>
  </si>
  <si>
    <t>7-Depth</t>
  </si>
  <si>
    <t>Pre-Condition</t>
  </si>
  <si>
    <t>TN</t>
  </si>
  <si>
    <t>Test-Step</t>
  </si>
  <si>
    <t>Expected-Result</t>
  </si>
  <si>
    <t>Priority</t>
  </si>
  <si>
    <t>Total Result</t>
  </si>
  <si>
    <t>Result</t>
  </si>
  <si>
    <t>Issue No.</t>
  </si>
  <si>
    <t>Comment</t>
  </si>
  <si>
    <t>Note</t>
  </si>
  <si>
    <t>Test Case Edit</t>
  </si>
  <si>
    <t>Web</t>
  </si>
  <si>
    <t>And</t>
  </si>
  <si>
    <t>iOS</t>
  </si>
  <si>
    <t>OS</t>
  </si>
  <si>
    <t>※ 노란색 셀만 입력 — 환경 정보 / Result / Issue No.   ·   Comment = TC ID · 실행 단계 · 선행 TC · 대상 서비스</t>
  </si>
  <si>
    <t>단말</t>
  </si>
  <si>
    <t>Chrome / Safari</t>
  </si>
  <si>
    <t>버전</t>
  </si>
  <si>
    <t>※ 1-Depth는 기능 영역 기준. 실제 탐색으로 화면명이 확정되면 1-Depth에 화면명을 넣고 현재 계층을 한 칸씩 내림 (6·7-Depth 여유 확보)
※ 11~14행은 예시입니다 — 실제 작성 시 삭제 후 사용</t>
  </si>
  <si>
    <t>작업자 이름</t>
  </si>
  <si>
    <t>작업 시작일</t>
  </si>
  <si>
    <t>앱 진입</t>
  </si>
  <si>
    <t>최초 실행</t>
  </si>
  <si>
    <t>진입 분기</t>
  </si>
  <si>
    <t>미로그인 최초 실행</t>
  </si>
  <si>
    <t>앱 최초 설치, 로그인 이력 없음</t>
  </si>
  <si>
    <t>앱 실행한다</t>
  </si>
  <si>
    <t>앱이 정상 기동된다</t>
  </si>
  <si>
    <t>High</t>
  </si>
  <si>
    <t>TC-ENT-001 · 1단계 · 선행 - · 대상 {서비스명}</t>
  </si>
  <si>
    <t>결정적 · 1회 실행, 기대값 불일치 시 FAIL / 진입 계열 TN 루트. 선노출은 스크린 레코딩으로 프레임 단위 확인</t>
  </si>
  <si>
    <t>노출 화면 확인한다</t>
  </si>
  <si>
    <t>로그인 화면 노출되고, 홈·탐색 등 인증 후 화면이 한 프레임도 선노출되지 않는다</t>
  </si>
  <si>
    <t>세션 유지 상태 실행</t>
  </si>
  <si>
    <t>로그인 완료 후 세션 유효, 앱 종료 상태</t>
  </si>
  <si>
    <t>TC-ENT-002 · 2단계 · 선행 TC-ENT-001 · 대상 {서비스명}</t>
  </si>
  <si>
    <t>결정적 · 1회 실행, 기대값 불일치 시 FAIL</t>
  </si>
  <si>
    <t>로그인 화면을 거치지 않고 홈 화면 노출된다</t>
  </si>
  <si>
    <t>커버리지 요약</t>
  </si>
  <si>
    <t>Test Case 시트를 참조하는 수식으로 자동 집계됩니다. 행을 추가하면 아래 범위를 넓히세요.</t>
  </si>
  <si>
    <t>기준 골격 버전</t>
  </si>
  <si>
    <t>{프로젝트}-tree-vX.Y</t>
  </si>
  <si>
    <t>1-Depth (영역)</t>
  </si>
  <si>
    <t>TC 수</t>
  </si>
  <si>
    <t>Medium</t>
  </si>
  <si>
    <t>Low</t>
  </si>
  <si>
    <t>Pass</t>
  </si>
  <si>
    <t>Fail</t>
  </si>
  <si>
    <t>Blocked</t>
  </si>
  <si>
    <t>Pass율</t>
  </si>
  <si>
    <t>{영역 2}</t>
  </si>
  <si>
    <t>{영역 3}</t>
  </si>
  <si>
    <t>합계</t>
  </si>
  <si>
    <t>※ 전부 케이스 단위 — TC 수 = TN 1행 개수, Pass/Fail/Blocked = Total Result(케이스 판정) 집계 · Pass율 = Pass/(Pass+Fail), NI·Blocked는 분모 제외(결함 중복 계상 방지, Blocked 규모는 옆 열로 노출)</t>
  </si>
  <si>
    <t>※ 7행은 Test Case 예시와 연동된 살아 있는 예시, 8~9행은 자리표시 — 프로젝트 시작 시 기능 트리 1-Depth로 교체. 수식 범위는 500행까지</t>
  </si>
  <si>
    <t>명세서 — TC 시트 규칙 정본</t>
  </si>
  <si>
    <t>이 시트가 서식 규칙의 정본입니다. rules/tc-sheet-format.md와 짝으로 교차 검증하며, 불일치 발견 시 임의 판단 없이 사용자에게 기준을 확인합니다.</t>
  </si>
  <si>
    <t>1. 시트 구성</t>
  </si>
  <si>
    <t>시트</t>
  </si>
  <si>
    <t>역할</t>
  </si>
  <si>
    <t>Test Case</t>
  </si>
  <si>
    <t>TC 작성과 실행 기록. 노란 셀만 실행자가 입력합니다</t>
  </si>
  <si>
    <t>Summary</t>
  </si>
  <si>
    <t>케이스 단위 자동 집계. 기준 골격 버전은 C4에 기입합니다</t>
  </si>
  <si>
    <t>Issue</t>
  </si>
  <si>
    <t>결함 기록(내장 운영, JIRA 미사용). 서식은 추후 확정 예정</t>
  </si>
  <si>
    <t>명세서</t>
  </si>
  <si>
    <t>이 시트 — 서식 규칙의 정본</t>
  </si>
  <si>
    <t>2. 컬럼 정의 (Test Case)</t>
  </si>
  <si>
    <t>컬럼</t>
  </si>
  <si>
    <t>내용</t>
  </si>
  <si>
    <t>채우는 규칙</t>
  </si>
  <si>
    <t>행 번호</t>
  </si>
  <si>
    <t>자동(=ROW()-10). 직접 입력하지 않습니다</t>
  </si>
  <si>
    <t>1~7-Depth</t>
  </si>
  <si>
    <t>기능 계층</t>
  </si>
  <si>
    <t>스텝 행마다 반복. 의미 있는 깊이까지만 쓰고 나머지는 빈칸</t>
  </si>
  <si>
    <t>사전조건</t>
  </si>
  <si>
    <t>TN 1행에만</t>
  </si>
  <si>
    <t>스텝 번호</t>
  </si>
  <si>
    <t>케이스마다 1부터. 새 케이스가 시작되면 1로 복귀</t>
  </si>
  <si>
    <t>수행 동작</t>
  </si>
  <si>
    <t>「~한다」 체</t>
  </si>
  <si>
    <t>기대 결과</t>
  </si>
  <si>
    <t>「~된다」 체. 판정 가능한 문장 — 임계·합격선·시도 횟수는 문장 안에 숫자로</t>
  </si>
  <si>
    <t>우선순위</t>
  </si>
  <si>
    <t>TN 1행에만. High/Medium/Low — 케이스의 속성입니다</t>
  </si>
  <si>
    <t>케이스 판정</t>
  </si>
  <si>
    <t>수식 열. 케이스 행 범위를 세로 병합하며 직접 입력하지 않습니다</t>
  </si>
  <si>
    <t>스텝 실행 결과</t>
  </si>
  <si>
    <t>드롭다운 4종(아래 상태값 정의). 실행자 입력 — 노란 셀</t>
  </si>
  <si>
    <t>이슈 연결</t>
  </si>
  <si>
    <t>Issue 시트의 ID. 실행자 입력 — 노란 셀</t>
  </si>
  <si>
    <t>케이스 메타</t>
  </si>
  <si>
    <t>TC ID · 실행 단계 · 선행 TC · 대상 서비스</t>
  </si>
  <si>
    <t>검증 정보</t>
  </si>
  <si>
    <t>검증유형과 판정 규칙, 주의사항</t>
  </si>
  <si>
    <t>편집 이력</t>
  </si>
  <si>
    <t>자유 기재</t>
  </si>
  <si>
    <t>3. 상태값 정의 (2026-08-01 확정)</t>
  </si>
  <si>
    <t>상태</t>
  </si>
  <si>
    <t>정의</t>
  </si>
  <si>
    <t>Pass율 분모</t>
  </si>
  <si>
    <t>성공</t>
  </si>
  <si>
    <t>포함</t>
  </si>
  <si>
    <t>실패</t>
  </si>
  <si>
    <t>NI</t>
  </si>
  <si>
    <t>미구현이거나 스펙에 없어 실행 대상이 아님 (Not Implemented)</t>
  </si>
  <si>
    <t>제외</t>
  </si>
  <si>
    <t>기능은 구현됐으나 선행 TC의 Fail로 확인 불가</t>
  </si>
  <si>
    <t>Pass율 = Pass ÷ (Pass + Fail). NI·Blocked를 분모에 넣지 않는 이유는 결함 1건이 후속 Blocked 수만큼 중복 계상되는 것을 막기 위해서입니다. 대신 확인 못 한 규모가 숨지 않도록 Blocked 개수를 Summary에 별도 열로 노출합니다</t>
  </si>
  <si>
    <t>4. Total Result 규칙</t>
  </si>
  <si>
    <t>항목</t>
  </si>
  <si>
    <t>규칙</t>
  </si>
  <si>
    <t>Fail &gt; Blocked &gt; NI &gt; Pass — 스텝 중 하나라도 Fail이면 케이스 Fail</t>
  </si>
  <si>
    <t>수식 원형</t>
  </si>
  <si>
    <t>병합</t>
  </si>
  <si>
    <t>케이스의 스텝 행 범위를 플랫폼 열마다 세로 병합</t>
  </si>
  <si>
    <t>5. TC ID 체계</t>
  </si>
  <si>
    <t>형식</t>
  </si>
  <si>
    <t>TC-{영역코드}-{번호 3자리} — 예: TC-ENT-001</t>
  </si>
  <si>
    <t>번호</t>
  </si>
  <si>
    <t>영역 안에서만 증가합니다. 다른 영역에 케이스가 추가돼도 기존 ID가 흔들리지 않습니다</t>
  </si>
  <si>
    <t>영역코드</t>
  </si>
  <si>
    <t>기능 트리 1-Depth당 하나. 매핑표는 프로젝트 시트에서 정의합니다 (예: 앱 진입=ENT)</t>
  </si>
  <si>
    <t>기재 위치</t>
  </si>
  <si>
    <t>Comment의 첫 토큰. 자동화 케이스명·추적 매트릭스·Issue 연결이 이 ID를 참조합니다</t>
  </si>
  <si>
    <t>6. 플랫폼 열 규칙</t>
  </si>
  <si>
    <t>기본값</t>
  </si>
  <si>
    <t>마스터는 Web / And / iOS 3열</t>
  </si>
  <si>
    <t>프로젝트 조정</t>
  </si>
  <si>
    <t>TC 설계 시작 시 대상 플랫폼을 사용자에게 재확인하고, Test Case의 Total Result·Result 하위 열과 Summary의 플랫폼 열을 함께 조정합니다</t>
  </si>
  <si>
    <t>7. 입력 규칙</t>
  </si>
  <si>
    <t>입력 셀</t>
  </si>
  <si>
    <t>노란 셀만 실행자가 입력합니다 — 환경 블록·Result·Issue No.</t>
  </si>
  <si>
    <t>설계 셀</t>
  </si>
  <si>
    <t>Depth·절차·기대결과는 실행 중 수정하지 않습니다</t>
  </si>
  <si>
    <t>Summary C4에 수기 기입 — 이 TC가 어느 기능 트리 버전을 보고 만들어졌는지의 기록입니다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</si>
</sst>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0">
    <font>
      <sz val="11"/>
      <color theme="1"/>
      <name val="맑은 고딕"/>
      <family val="2"/>
      <scheme val="minor"/>
    </font>
    <font>
      <b/>
      <sz val="11"/>
      <color rgb="FFFFFFFF"/>
      <name val="Arial"/>
    </font>
    <font>
      <b/>
      <sz val="9"/>
      <color rgb="FFFFFFFF"/>
      <name val="Arial"/>
    </font>
    <font>
      <sz val="9"/>
      <name val="Malgun Gothic"/>
      <family val="3"/>
      <charset val="129"/>
    </font>
    <font>
      <sz val="8"/>
      <color rgb="FF555555"/>
      <name val="Malgun Gothic"/>
      <family val="3"/>
      <charset val="129"/>
    </font>
    <font>
      <sz val="9"/>
      <color rgb="FF808080"/>
      <name val="Malgun Gothic"/>
      <family val="3"/>
      <charset val="129"/>
    </font>
    <font>
      <b/>
      <sz val="12"/>
      <name val="Malgun Gothic"/>
      <family val="3"/>
      <charset val="129"/>
    </font>
    <font>
      <b/>
      <sz val="9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sz val="8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2A44"/>
      </patternFill>
    </fill>
    <fill>
      <patternFill patternType="solid">
        <fgColor rgb="FF44546A"/>
      </patternFill>
    </fill>
    <fill>
      <patternFill patternType="solid">
        <fgColor rgb="FFEDEFF4"/>
      </patternFill>
    </fill>
    <fill>
      <patternFill patternType="solid">
        <fgColor rgb="FFFFF9C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1" xfId="0" applyFill="1" applyBorder="1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5" fillId="5" borderId="1" xfId="0" applyFont="1" applyFill="1" applyBorder="1" applyAlignment="1">
      <alignment horizontal="center" vertical="center" wrapText="1"/>
    </xf>
    <xf numFmtId="0" fontId="6" fillId="0" borderId="0" xfId="0" applyFont="1"/>
    <xf numFmtId="0" fontId="4" fillId="0" borderId="0" xfId="0" applyFont="1"/>
    <xf numFmtId="0" fontId="7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5" fillId="0" borderId="1" xfId="0" applyFont="1" applyBorder="1" applyAlignment="1">
      <alignment horizontal="left" vertical="center"/>
    </xf>
    <xf numFmtId="176" fontId="5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176" fontId="3" fillId="0" borderId="1" xfId="0" applyNumberFormat="1" applyFont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/>
    </xf>
    <xf numFmtId="176" fontId="7" fillId="4" borderId="1" xfId="0" applyNumberFormat="1" applyFont="1" applyFill="1" applyBorder="1" applyAlignment="1">
      <alignment horizontal="center" vertical="center" wrapText="1"/>
    </xf>
    <xf numFmtId="0" fontId="8" fillId="2" borderId="1" xfId="0" applyFont="1" applyFill="1" applyBorder="1"/>
    <xf numFmtId="0" fontId="7" fillId="4" borderId="1" xfId="0" applyFont="1" applyFill="1" applyBorder="1"/>
    <xf numFmtId="0" fontId="3" fillId="0" borderId="1" xfId="0" applyFont="1" applyBorder="1" applyAlignment="1">
      <alignment horizontal="left" vertical="top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4" fillId="0" borderId="0" xfId="0" applyFont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0" fillId="0" borderId="2" xfId="0" applyBorder="1"/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2" fillId="3" borderId="1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X14"/>
  <sheetViews>
    <sheetView tabSelected="1" workbookViewId="0">
      <pane xSplit="2" ySplit="10" topLeftCell="C11" activePane="bottomRight" state="frozen"/>
      <selection pane="topRight"/>
      <selection pane="bottomLeft"/>
      <selection pane="bottomRight"/>
    </sheetView>
  </sheetViews>
  <sheetFormatPr defaultRowHeight="17.399999999999999"/>
  <cols>
    <col min="1" max="1" width="3" customWidth="1"/>
    <col min="2" max="2" width="6" customWidth="1"/>
    <col min="3" max="3" width="15" customWidth="1"/>
    <col min="4" max="4" width="14" customWidth="1"/>
    <col min="5" max="5" width="15" customWidth="1"/>
    <col min="6" max="6" width="20" customWidth="1"/>
    <col min="7" max="9" width="11" customWidth="1"/>
    <col min="10" max="10" width="26" customWidth="1"/>
    <col min="11" max="11" width="5" customWidth="1"/>
    <col min="12" max="12" width="34" customWidth="1"/>
    <col min="13" max="13" width="46" customWidth="1"/>
    <col min="14" max="14" width="9" customWidth="1"/>
    <col min="15" max="20" width="7" customWidth="1"/>
    <col min="21" max="21" width="11" customWidth="1"/>
    <col min="22" max="22" width="34" customWidth="1"/>
    <col min="23" max="23" width="30" customWidth="1"/>
    <col min="24" max="24" width="12" customWidth="1"/>
  </cols>
  <sheetData>
    <row r="3" spans="2:24" ht="22.05" customHeight="1">
      <c r="B3" s="24" t="s">
        <v>0</v>
      </c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</row>
    <row r="4" spans="2:24">
      <c r="B4" s="22" t="s">
        <v>1</v>
      </c>
      <c r="C4" s="22" t="s">
        <v>2</v>
      </c>
      <c r="D4" s="22" t="s">
        <v>3</v>
      </c>
      <c r="E4" s="22" t="s">
        <v>4</v>
      </c>
      <c r="F4" s="22" t="s">
        <v>5</v>
      </c>
      <c r="G4" s="22" t="s">
        <v>6</v>
      </c>
      <c r="H4" s="22" t="s">
        <v>7</v>
      </c>
      <c r="I4" s="22" t="s">
        <v>8</v>
      </c>
      <c r="J4" s="22" t="s">
        <v>9</v>
      </c>
      <c r="K4" s="22" t="s">
        <v>10</v>
      </c>
      <c r="L4" s="22" t="s">
        <v>11</v>
      </c>
      <c r="M4" s="22" t="s">
        <v>12</v>
      </c>
      <c r="N4" s="22" t="s">
        <v>13</v>
      </c>
      <c r="O4" s="22" t="s">
        <v>14</v>
      </c>
      <c r="P4" s="23"/>
      <c r="Q4" s="23"/>
      <c r="R4" s="22" t="s">
        <v>15</v>
      </c>
      <c r="S4" s="23"/>
      <c r="T4" s="23"/>
      <c r="U4" s="22" t="s">
        <v>16</v>
      </c>
      <c r="V4" s="22" t="s">
        <v>17</v>
      </c>
      <c r="W4" s="22" t="s">
        <v>18</v>
      </c>
      <c r="X4" s="22" t="s">
        <v>19</v>
      </c>
    </row>
    <row r="5" spans="2:24"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" t="s">
        <v>20</v>
      </c>
      <c r="P5" s="2" t="s">
        <v>21</v>
      </c>
      <c r="Q5" s="2" t="s">
        <v>22</v>
      </c>
      <c r="R5" s="2" t="s">
        <v>20</v>
      </c>
      <c r="S5" s="2" t="s">
        <v>21</v>
      </c>
      <c r="T5" s="2" t="s">
        <v>22</v>
      </c>
      <c r="U5" s="23"/>
      <c r="V5" s="23"/>
      <c r="W5" s="23"/>
      <c r="X5" s="23"/>
    </row>
    <row r="6" spans="2:24">
      <c r="N6" s="3" t="s">
        <v>23</v>
      </c>
      <c r="O6" s="29"/>
      <c r="P6" s="29"/>
      <c r="Q6" s="29"/>
      <c r="R6" s="4"/>
      <c r="S6" s="4"/>
      <c r="T6" s="4"/>
      <c r="V6" s="26" t="s">
        <v>24</v>
      </c>
      <c r="W6" s="25"/>
      <c r="X6" s="25"/>
    </row>
    <row r="7" spans="2:24" ht="26.4">
      <c r="N7" s="3" t="s">
        <v>25</v>
      </c>
      <c r="O7" s="29"/>
      <c r="P7" s="29"/>
      <c r="Q7" s="29"/>
      <c r="R7" s="4" t="s">
        <v>26</v>
      </c>
      <c r="S7" s="4"/>
      <c r="T7" s="4"/>
    </row>
    <row r="8" spans="2:24">
      <c r="N8" s="3" t="s">
        <v>27</v>
      </c>
      <c r="O8" s="29"/>
      <c r="P8" s="29"/>
      <c r="Q8" s="29"/>
      <c r="R8" s="4"/>
      <c r="S8" s="4"/>
      <c r="T8" s="4"/>
      <c r="V8" s="26" t="s">
        <v>28</v>
      </c>
      <c r="W8" s="25"/>
      <c r="X8" s="25"/>
    </row>
    <row r="9" spans="2:24">
      <c r="N9" s="3" t="s">
        <v>29</v>
      </c>
      <c r="O9" s="29"/>
      <c r="P9" s="29"/>
      <c r="Q9" s="29"/>
      <c r="R9" s="4"/>
      <c r="S9" s="4"/>
      <c r="T9" s="4"/>
      <c r="V9" s="25"/>
      <c r="W9" s="25"/>
      <c r="X9" s="25"/>
    </row>
    <row r="10" spans="2:24">
      <c r="N10" s="3" t="s">
        <v>30</v>
      </c>
      <c r="O10" s="29"/>
      <c r="P10" s="29"/>
      <c r="Q10" s="29"/>
      <c r="R10" s="4"/>
      <c r="S10" s="4"/>
      <c r="T10" s="4"/>
      <c r="V10" s="25"/>
      <c r="W10" s="25"/>
      <c r="X10" s="25"/>
    </row>
    <row r="11" spans="2:24" ht="39.6">
      <c r="B11" s="5">
        <f>ROW()-10</f>
        <v>1</v>
      </c>
      <c r="C11" s="5" t="s">
        <v>31</v>
      </c>
      <c r="D11" s="5" t="s">
        <v>32</v>
      </c>
      <c r="E11" s="5" t="s">
        <v>33</v>
      </c>
      <c r="F11" s="5" t="s">
        <v>34</v>
      </c>
      <c r="G11" s="5"/>
      <c r="H11" s="5"/>
      <c r="I11" s="5"/>
      <c r="J11" s="6" t="s">
        <v>35</v>
      </c>
      <c r="K11" s="5">
        <v>1</v>
      </c>
      <c r="L11" s="6" t="s">
        <v>36</v>
      </c>
      <c r="M11" s="6" t="s">
        <v>37</v>
      </c>
      <c r="N11" s="5" t="s">
        <v>38</v>
      </c>
      <c r="O11" s="27" t="str">
        <f>IF(COUNTIF(R11:R12,"Fail")&gt;0,"Fail",IF(COUNTIF(R11:R12,"Blocked")&gt;0,"Blocked",IF(COUNTIF(R11:R12,"NI")&gt;0,"NI",IF(COUNTIF(R11:R12,"Pass")&gt;0,"Pass",""))))</f>
        <v/>
      </c>
      <c r="P11" s="27" t="str">
        <f>IF(COUNTIF(S11:S12,"Fail")&gt;0,"Fail",IF(COUNTIF(S11:S12,"Blocked")&gt;0,"Blocked",IF(COUNTIF(S11:S12,"NI")&gt;0,"NI",IF(COUNTIF(S11:S12,"Pass")&gt;0,"Pass",""))))</f>
        <v/>
      </c>
      <c r="Q11" s="27" t="str">
        <f>IF(COUNTIF(T11:T12,"Fail")&gt;0,"Fail",IF(COUNTIF(T11:T12,"Blocked")&gt;0,"Blocked",IF(COUNTIF(T11:T12,"NI")&gt;0,"NI",IF(COUNTIF(T11:T12,"Pass")&gt;0,"Pass",""))))</f>
        <v/>
      </c>
      <c r="R11" s="7"/>
      <c r="S11" s="7"/>
      <c r="T11" s="7"/>
      <c r="U11" s="7"/>
      <c r="V11" s="6" t="s">
        <v>39</v>
      </c>
      <c r="W11" s="6" t="s">
        <v>40</v>
      </c>
      <c r="X11" s="5"/>
    </row>
    <row r="12" spans="2:24" ht="26.4">
      <c r="B12" s="5">
        <f>ROW()-10</f>
        <v>2</v>
      </c>
      <c r="C12" s="5" t="s">
        <v>31</v>
      </c>
      <c r="D12" s="5" t="s">
        <v>32</v>
      </c>
      <c r="E12" s="5" t="s">
        <v>33</v>
      </c>
      <c r="F12" s="5" t="s">
        <v>34</v>
      </c>
      <c r="G12" s="5"/>
      <c r="H12" s="5"/>
      <c r="I12" s="5"/>
      <c r="J12" s="6"/>
      <c r="K12" s="5">
        <v>2</v>
      </c>
      <c r="L12" s="6" t="s">
        <v>41</v>
      </c>
      <c r="M12" s="6" t="s">
        <v>42</v>
      </c>
      <c r="N12" s="5"/>
      <c r="O12" s="28"/>
      <c r="P12" s="28"/>
      <c r="Q12" s="28"/>
      <c r="R12" s="7"/>
      <c r="S12" s="7"/>
      <c r="T12" s="7"/>
      <c r="U12" s="7"/>
      <c r="V12" s="6"/>
      <c r="W12" s="6"/>
      <c r="X12" s="5"/>
    </row>
    <row r="13" spans="2:24" ht="26.4">
      <c r="B13" s="5">
        <f>ROW()-10</f>
        <v>3</v>
      </c>
      <c r="C13" s="5" t="s">
        <v>31</v>
      </c>
      <c r="D13" s="5" t="s">
        <v>32</v>
      </c>
      <c r="E13" s="5" t="s">
        <v>33</v>
      </c>
      <c r="F13" s="5" t="s">
        <v>43</v>
      </c>
      <c r="G13" s="5"/>
      <c r="H13" s="5"/>
      <c r="I13" s="5"/>
      <c r="J13" s="6" t="s">
        <v>44</v>
      </c>
      <c r="K13" s="5">
        <v>1</v>
      </c>
      <c r="L13" s="6" t="s">
        <v>36</v>
      </c>
      <c r="M13" s="6" t="s">
        <v>37</v>
      </c>
      <c r="N13" s="5" t="s">
        <v>38</v>
      </c>
      <c r="O13" s="27" t="str">
        <f>IF(COUNTIF(R13:R14,"Fail")&gt;0,"Fail",IF(COUNTIF(R13:R14,"Blocked")&gt;0,"Blocked",IF(COUNTIF(R13:R14,"NI")&gt;0,"NI",IF(COUNTIF(R13:R14,"Pass")&gt;0,"Pass",""))))</f>
        <v/>
      </c>
      <c r="P13" s="27" t="str">
        <f>IF(COUNTIF(S13:S14,"Fail")&gt;0,"Fail",IF(COUNTIF(S13:S14,"Blocked")&gt;0,"Blocked",IF(COUNTIF(S13:S14,"NI")&gt;0,"NI",IF(COUNTIF(S13:S14,"Pass")&gt;0,"Pass",""))))</f>
        <v/>
      </c>
      <c r="Q13" s="27" t="str">
        <f>IF(COUNTIF(T13:T14,"Fail")&gt;0,"Fail",IF(COUNTIF(T13:T14,"Blocked")&gt;0,"Blocked",IF(COUNTIF(T13:T14,"NI")&gt;0,"NI",IF(COUNTIF(T13:T14,"Pass")&gt;0,"Pass",""))))</f>
        <v/>
      </c>
      <c r="R13" s="7"/>
      <c r="S13" s="7"/>
      <c r="T13" s="7"/>
      <c r="U13" s="7"/>
      <c r="V13" s="6" t="s">
        <v>45</v>
      </c>
      <c r="W13" s="6" t="s">
        <v>46</v>
      </c>
      <c r="X13" s="5"/>
    </row>
    <row r="14" spans="2:24">
      <c r="B14" s="5">
        <f>ROW()-10</f>
        <v>4</v>
      </c>
      <c r="C14" s="5" t="s">
        <v>31</v>
      </c>
      <c r="D14" s="5" t="s">
        <v>32</v>
      </c>
      <c r="E14" s="5" t="s">
        <v>33</v>
      </c>
      <c r="F14" s="5" t="s">
        <v>43</v>
      </c>
      <c r="G14" s="5"/>
      <c r="H14" s="5"/>
      <c r="I14" s="5"/>
      <c r="J14" s="6"/>
      <c r="K14" s="5">
        <v>2</v>
      </c>
      <c r="L14" s="6" t="s">
        <v>41</v>
      </c>
      <c r="M14" s="6" t="s">
        <v>47</v>
      </c>
      <c r="N14" s="5"/>
      <c r="O14" s="28"/>
      <c r="P14" s="28"/>
      <c r="Q14" s="28"/>
      <c r="R14" s="7"/>
      <c r="S14" s="7"/>
      <c r="T14" s="7"/>
      <c r="U14" s="7"/>
      <c r="V14" s="6"/>
      <c r="W14" s="6"/>
      <c r="X14" s="5"/>
    </row>
  </sheetData>
  <mergeCells count="33">
    <mergeCell ref="P13:P14"/>
    <mergeCell ref="G4:G5"/>
    <mergeCell ref="X4:X5"/>
    <mergeCell ref="I4:I5"/>
    <mergeCell ref="O11:O12"/>
    <mergeCell ref="K4:K5"/>
    <mergeCell ref="O7:Q7"/>
    <mergeCell ref="Q11:Q12"/>
    <mergeCell ref="U4:U5"/>
    <mergeCell ref="O10:Q10"/>
    <mergeCell ref="M4:M5"/>
    <mergeCell ref="O6:Q6"/>
    <mergeCell ref="O13:O14"/>
    <mergeCell ref="W4:W5"/>
    <mergeCell ref="Q13:Q14"/>
    <mergeCell ref="R4:T4"/>
    <mergeCell ref="V6:X6"/>
    <mergeCell ref="P11:P12"/>
    <mergeCell ref="D4:D5"/>
    <mergeCell ref="J4:J5"/>
    <mergeCell ref="L4:L5"/>
    <mergeCell ref="O8:Q8"/>
    <mergeCell ref="F4:F5"/>
    <mergeCell ref="H4:H5"/>
    <mergeCell ref="N4:N5"/>
    <mergeCell ref="O9:Q9"/>
    <mergeCell ref="V8:X10"/>
    <mergeCell ref="C4:C5"/>
    <mergeCell ref="V4:V5"/>
    <mergeCell ref="O4:Q4"/>
    <mergeCell ref="E4:E5"/>
    <mergeCell ref="B3:X3"/>
    <mergeCell ref="B4:B5"/>
  </mergeCells>
  <phoneticPr fontId="9" type="noConversion"/>
  <dataValidations count="2">
    <dataValidation type="list" allowBlank="1" sqref="N11:N500" xr:uid="{00000000-0002-0000-0000-000000000000}">
      <formula1>"High,Medium,Low"</formula1>
    </dataValidation>
    <dataValidation type="list" allowBlank="1" sqref="R11:T500" xr:uid="{00000000-0002-0000-0000-000001000000}">
      <formula1>"Pass,Fail,NI,Blocked"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13"/>
  <sheetViews>
    <sheetView workbookViewId="0"/>
  </sheetViews>
  <sheetFormatPr defaultRowHeight="17.399999999999999"/>
  <cols>
    <col min="1" max="1" width="3" customWidth="1"/>
    <col min="2" max="2" width="22" customWidth="1"/>
    <col min="3" max="6" width="8" customWidth="1"/>
    <col min="7" max="18" width="9" customWidth="1"/>
  </cols>
  <sheetData>
    <row r="2" spans="2:18" ht="19.2">
      <c r="B2" s="8" t="s">
        <v>48</v>
      </c>
    </row>
    <row r="3" spans="2:18">
      <c r="B3" s="9" t="s">
        <v>49</v>
      </c>
    </row>
    <row r="4" spans="2:18">
      <c r="B4" s="10" t="s">
        <v>50</v>
      </c>
      <c r="C4" s="30" t="s">
        <v>51</v>
      </c>
      <c r="D4" s="31"/>
      <c r="E4" s="31"/>
    </row>
    <row r="5" spans="2:18">
      <c r="B5" s="22" t="s">
        <v>52</v>
      </c>
      <c r="C5" s="22" t="s">
        <v>53</v>
      </c>
      <c r="D5" s="22" t="s">
        <v>13</v>
      </c>
      <c r="E5" s="22"/>
      <c r="F5" s="22"/>
      <c r="G5" s="22" t="s">
        <v>20</v>
      </c>
      <c r="H5" s="22"/>
      <c r="I5" s="22"/>
      <c r="J5" s="22"/>
      <c r="K5" s="22" t="s">
        <v>21</v>
      </c>
      <c r="L5" s="22"/>
      <c r="M5" s="22"/>
      <c r="N5" s="22"/>
      <c r="O5" s="22" t="s">
        <v>22</v>
      </c>
      <c r="P5" s="22"/>
      <c r="Q5" s="22"/>
      <c r="R5" s="22"/>
    </row>
    <row r="6" spans="2:18">
      <c r="B6" s="32"/>
      <c r="C6" s="32"/>
      <c r="D6" s="2" t="s">
        <v>38</v>
      </c>
      <c r="E6" s="2" t="s">
        <v>54</v>
      </c>
      <c r="F6" s="2" t="s">
        <v>55</v>
      </c>
      <c r="G6" s="2" t="s">
        <v>56</v>
      </c>
      <c r="H6" s="2" t="s">
        <v>57</v>
      </c>
      <c r="I6" s="2" t="s">
        <v>58</v>
      </c>
      <c r="J6" s="2" t="s">
        <v>59</v>
      </c>
      <c r="K6" s="2" t="s">
        <v>56</v>
      </c>
      <c r="L6" s="2" t="s">
        <v>57</v>
      </c>
      <c r="M6" s="2" t="s">
        <v>58</v>
      </c>
      <c r="N6" s="2" t="s">
        <v>59</v>
      </c>
      <c r="O6" s="2" t="s">
        <v>56</v>
      </c>
      <c r="P6" s="2" t="s">
        <v>57</v>
      </c>
      <c r="Q6" s="2" t="s">
        <v>58</v>
      </c>
      <c r="R6" s="2" t="s">
        <v>59</v>
      </c>
    </row>
    <row r="7" spans="2:18">
      <c r="B7" s="12" t="s">
        <v>31</v>
      </c>
      <c r="C7" s="5">
        <f>COUNTIFS('Test Case'!$C$11:$C$500,$B7,'Test Case'!$K$11:$K$500,1)</f>
        <v>2</v>
      </c>
      <c r="D7" s="5">
        <f>COUNTIFS('Test Case'!$C$11:$C$500,$B7,'Test Case'!$N$11:$N$500,"High")</f>
        <v>2</v>
      </c>
      <c r="E7" s="5">
        <f>COUNTIFS('Test Case'!$C$11:$C$500,$B7,'Test Case'!$N$11:$N$500,"Medium")</f>
        <v>0</v>
      </c>
      <c r="F7" s="5">
        <f>COUNTIFS('Test Case'!$C$11:$C$500,$B7,'Test Case'!$N$11:$N$500,"Low")</f>
        <v>0</v>
      </c>
      <c r="G7" s="5">
        <f>COUNTIFS('Test Case'!$C$11:$C$500,$B7,'Test Case'!$O$11:$O$500,"Pass")</f>
        <v>0</v>
      </c>
      <c r="H7" s="5">
        <f>COUNTIFS('Test Case'!$C$11:$C$500,$B7,'Test Case'!$O$11:$O$500,"Fail")</f>
        <v>0</v>
      </c>
      <c r="I7" s="5">
        <f>COUNTIFS('Test Case'!$C$11:$C$500,$B7,'Test Case'!$O$11:$O$500,"Blocked")</f>
        <v>0</v>
      </c>
      <c r="J7" s="13" t="str">
        <f>IF(G7+H7=0,"",G7/(G7+H7))</f>
        <v/>
      </c>
      <c r="K7" s="5">
        <f>COUNTIFS('Test Case'!$C$11:$C$500,$B7,'Test Case'!$P$11:$P$500,"Pass")</f>
        <v>0</v>
      </c>
      <c r="L7" s="5">
        <f>COUNTIFS('Test Case'!$C$11:$C$500,$B7,'Test Case'!$P$11:$P$500,"Fail")</f>
        <v>0</v>
      </c>
      <c r="M7" s="5">
        <f>COUNTIFS('Test Case'!$C$11:$C$500,$B7,'Test Case'!$P$11:$P$500,"Blocked")</f>
        <v>0</v>
      </c>
      <c r="N7" s="13" t="str">
        <f>IF(K7+L7=0,"",K7/(K7+L7))</f>
        <v/>
      </c>
      <c r="O7" s="5">
        <f>COUNTIFS('Test Case'!$C$11:$C$500,$B7,'Test Case'!$Q$11:$Q$500,"Pass")</f>
        <v>0</v>
      </c>
      <c r="P7" s="5">
        <f>COUNTIFS('Test Case'!$C$11:$C$500,$B7,'Test Case'!$Q$11:$Q$500,"Fail")</f>
        <v>0</v>
      </c>
      <c r="Q7" s="5">
        <f>COUNTIFS('Test Case'!$C$11:$C$500,$B7,'Test Case'!$Q$11:$Q$500,"Blocked")</f>
        <v>0</v>
      </c>
      <c r="R7" s="13" t="str">
        <f>IF(O7+P7=0,"",O7/(O7+P7))</f>
        <v/>
      </c>
    </row>
    <row r="8" spans="2:18">
      <c r="B8" s="14" t="s">
        <v>60</v>
      </c>
      <c r="C8" s="15">
        <f>COUNTIFS('Test Case'!$C$11:$C$500,$B8,'Test Case'!$K$11:$K$500,1)</f>
        <v>0</v>
      </c>
      <c r="D8" s="15">
        <f>COUNTIFS('Test Case'!$C$11:$C$500,$B8,'Test Case'!$N$11:$N$500,"High")</f>
        <v>0</v>
      </c>
      <c r="E8" s="15">
        <f>COUNTIFS('Test Case'!$C$11:$C$500,$B8,'Test Case'!$N$11:$N$500,"Medium")</f>
        <v>0</v>
      </c>
      <c r="F8" s="15">
        <f>COUNTIFS('Test Case'!$C$11:$C$500,$B8,'Test Case'!$N$11:$N$500,"Low")</f>
        <v>0</v>
      </c>
      <c r="G8" s="15">
        <f>COUNTIFS('Test Case'!$C$11:$C$500,$B8,'Test Case'!$O$11:$O$500,"Pass")</f>
        <v>0</v>
      </c>
      <c r="H8" s="15">
        <f>COUNTIFS('Test Case'!$C$11:$C$500,$B8,'Test Case'!$O$11:$O$500,"Fail")</f>
        <v>0</v>
      </c>
      <c r="I8" s="15">
        <f>COUNTIFS('Test Case'!$C$11:$C$500,$B8,'Test Case'!$O$11:$O$500,"Blocked")</f>
        <v>0</v>
      </c>
      <c r="J8" s="16" t="str">
        <f>IF(G8+H8=0,"",G8/(G8+H8))</f>
        <v/>
      </c>
      <c r="K8" s="15">
        <f>COUNTIFS('Test Case'!$C$11:$C$500,$B8,'Test Case'!$P$11:$P$500,"Pass")</f>
        <v>0</v>
      </c>
      <c r="L8" s="15">
        <f>COUNTIFS('Test Case'!$C$11:$C$500,$B8,'Test Case'!$P$11:$P$500,"Fail")</f>
        <v>0</v>
      </c>
      <c r="M8" s="15">
        <f>COUNTIFS('Test Case'!$C$11:$C$500,$B8,'Test Case'!$P$11:$P$500,"Blocked")</f>
        <v>0</v>
      </c>
      <c r="N8" s="16" t="str">
        <f>IF(K8+L8=0,"",K8/(K8+L8))</f>
        <v/>
      </c>
      <c r="O8" s="15">
        <f>COUNTIFS('Test Case'!$C$11:$C$500,$B8,'Test Case'!$Q$11:$Q$500,"Pass")</f>
        <v>0</v>
      </c>
      <c r="P8" s="15">
        <f>COUNTIFS('Test Case'!$C$11:$C$500,$B8,'Test Case'!$Q$11:$Q$500,"Fail")</f>
        <v>0</v>
      </c>
      <c r="Q8" s="15">
        <f>COUNTIFS('Test Case'!$C$11:$C$500,$B8,'Test Case'!$Q$11:$Q$500,"Blocked")</f>
        <v>0</v>
      </c>
      <c r="R8" s="16" t="str">
        <f>IF(O8+P8=0,"",O8/(O8+P8))</f>
        <v/>
      </c>
    </row>
    <row r="9" spans="2:18">
      <c r="B9" s="14" t="s">
        <v>61</v>
      </c>
      <c r="C9" s="15">
        <f>COUNTIFS('Test Case'!$C$11:$C$500,$B9,'Test Case'!$K$11:$K$500,1)</f>
        <v>0</v>
      </c>
      <c r="D9" s="15">
        <f>COUNTIFS('Test Case'!$C$11:$C$500,$B9,'Test Case'!$N$11:$N$500,"High")</f>
        <v>0</v>
      </c>
      <c r="E9" s="15">
        <f>COUNTIFS('Test Case'!$C$11:$C$500,$B9,'Test Case'!$N$11:$N$500,"Medium")</f>
        <v>0</v>
      </c>
      <c r="F9" s="15">
        <f>COUNTIFS('Test Case'!$C$11:$C$500,$B9,'Test Case'!$N$11:$N$500,"Low")</f>
        <v>0</v>
      </c>
      <c r="G9" s="15">
        <f>COUNTIFS('Test Case'!$C$11:$C$500,$B9,'Test Case'!$O$11:$O$500,"Pass")</f>
        <v>0</v>
      </c>
      <c r="H9" s="15">
        <f>COUNTIFS('Test Case'!$C$11:$C$500,$B9,'Test Case'!$O$11:$O$500,"Fail")</f>
        <v>0</v>
      </c>
      <c r="I9" s="15">
        <f>COUNTIFS('Test Case'!$C$11:$C$500,$B9,'Test Case'!$O$11:$O$500,"Blocked")</f>
        <v>0</v>
      </c>
      <c r="J9" s="16" t="str">
        <f>IF(G9+H9=0,"",G9/(G9+H9))</f>
        <v/>
      </c>
      <c r="K9" s="15">
        <f>COUNTIFS('Test Case'!$C$11:$C$500,$B9,'Test Case'!$P$11:$P$500,"Pass")</f>
        <v>0</v>
      </c>
      <c r="L9" s="15">
        <f>COUNTIFS('Test Case'!$C$11:$C$500,$B9,'Test Case'!$P$11:$P$500,"Fail")</f>
        <v>0</v>
      </c>
      <c r="M9" s="15">
        <f>COUNTIFS('Test Case'!$C$11:$C$500,$B9,'Test Case'!$P$11:$P$500,"Blocked")</f>
        <v>0</v>
      </c>
      <c r="N9" s="16" t="str">
        <f>IF(K9+L9=0,"",K9/(K9+L9))</f>
        <v/>
      </c>
      <c r="O9" s="15">
        <f>COUNTIFS('Test Case'!$C$11:$C$500,$B9,'Test Case'!$Q$11:$Q$500,"Pass")</f>
        <v>0</v>
      </c>
      <c r="P9" s="15">
        <f>COUNTIFS('Test Case'!$C$11:$C$500,$B9,'Test Case'!$Q$11:$Q$500,"Fail")</f>
        <v>0</v>
      </c>
      <c r="Q9" s="15">
        <f>COUNTIFS('Test Case'!$C$11:$C$500,$B9,'Test Case'!$Q$11:$Q$500,"Blocked")</f>
        <v>0</v>
      </c>
      <c r="R9" s="16" t="str">
        <f>IF(O9+P9=0,"",O9/(O9+P9))</f>
        <v/>
      </c>
    </row>
    <row r="10" spans="2:18">
      <c r="B10" s="17" t="s">
        <v>62</v>
      </c>
      <c r="C10" s="10">
        <f t="shared" ref="C10:I10" si="0">SUM(C7:C9)</f>
        <v>2</v>
      </c>
      <c r="D10" s="10">
        <f t="shared" si="0"/>
        <v>2</v>
      </c>
      <c r="E10" s="10">
        <f t="shared" si="0"/>
        <v>0</v>
      </c>
      <c r="F10" s="10">
        <f t="shared" si="0"/>
        <v>0</v>
      </c>
      <c r="G10" s="10">
        <f t="shared" si="0"/>
        <v>0</v>
      </c>
      <c r="H10" s="10">
        <f t="shared" si="0"/>
        <v>0</v>
      </c>
      <c r="I10" s="10">
        <f t="shared" si="0"/>
        <v>0</v>
      </c>
      <c r="J10" s="18" t="str">
        <f>IF(SUM(G7:G9)+SUM(H7:H9)=0,"",SUM(G7:G9)/(SUM(G7:G9)+SUM(H7:H9)))</f>
        <v/>
      </c>
      <c r="K10" s="10">
        <f>SUM(K7:K9)</f>
        <v>0</v>
      </c>
      <c r="L10" s="10">
        <f>SUM(L7:L9)</f>
        <v>0</v>
      </c>
      <c r="M10" s="10">
        <f>SUM(M7:M9)</f>
        <v>0</v>
      </c>
      <c r="N10" s="18" t="str">
        <f>IF(SUM(K7:K9)+SUM(L7:L9)=0,"",SUM(K7:K9)/(SUM(K7:K9)+SUM(L7:L9)))</f>
        <v/>
      </c>
      <c r="O10" s="10">
        <f>SUM(O7:O9)</f>
        <v>0</v>
      </c>
      <c r="P10" s="10">
        <f>SUM(P7:P9)</f>
        <v>0</v>
      </c>
      <c r="Q10" s="10">
        <f>SUM(Q7:Q9)</f>
        <v>0</v>
      </c>
      <c r="R10" s="18" t="str">
        <f>IF(SUM(O7:O9)+SUM(P7:P9)=0,"",SUM(O7:O9)/(SUM(O7:O9)+SUM(P7:P9)))</f>
        <v/>
      </c>
    </row>
    <row r="12" spans="2:18">
      <c r="B12" s="9" t="s">
        <v>63</v>
      </c>
    </row>
    <row r="13" spans="2:18">
      <c r="B13" s="9" t="s">
        <v>64</v>
      </c>
    </row>
  </sheetData>
  <mergeCells count="7">
    <mergeCell ref="D5:F5"/>
    <mergeCell ref="C4:E4"/>
    <mergeCell ref="O5:R5"/>
    <mergeCell ref="G5:J5"/>
    <mergeCell ref="B5:B6"/>
    <mergeCell ref="K5:N5"/>
    <mergeCell ref="C5:C6"/>
  </mergeCells>
  <phoneticPr fontId="9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58"/>
  <sheetViews>
    <sheetView workbookViewId="0"/>
  </sheetViews>
  <sheetFormatPr defaultRowHeight="17.399999999999999"/>
  <cols>
    <col min="1" max="1" width="3" customWidth="1"/>
    <col min="2" max="2" width="18" customWidth="1"/>
    <col min="3" max="3" width="48" customWidth="1"/>
    <col min="4" max="4" width="64" customWidth="1"/>
  </cols>
  <sheetData>
    <row r="2" spans="2:4" ht="19.2">
      <c r="B2" s="8" t="s">
        <v>65</v>
      </c>
    </row>
    <row r="3" spans="2:4">
      <c r="B3" s="9" t="s">
        <v>66</v>
      </c>
    </row>
    <row r="5" spans="2:4">
      <c r="B5" s="19" t="s">
        <v>67</v>
      </c>
      <c r="C5" s="1"/>
      <c r="D5" s="1"/>
    </row>
    <row r="6" spans="2:4">
      <c r="B6" s="20" t="s">
        <v>68</v>
      </c>
      <c r="C6" s="20" t="s">
        <v>69</v>
      </c>
      <c r="D6" s="11"/>
    </row>
    <row r="7" spans="2:4">
      <c r="B7" s="21" t="s">
        <v>70</v>
      </c>
      <c r="C7" s="21" t="s">
        <v>71</v>
      </c>
      <c r="D7" s="21"/>
    </row>
    <row r="8" spans="2:4">
      <c r="B8" s="21" t="s">
        <v>72</v>
      </c>
      <c r="C8" s="21" t="s">
        <v>73</v>
      </c>
      <c r="D8" s="21"/>
    </row>
    <row r="9" spans="2:4">
      <c r="B9" s="21" t="s">
        <v>74</v>
      </c>
      <c r="C9" s="21" t="s">
        <v>75</v>
      </c>
      <c r="D9" s="21"/>
    </row>
    <row r="10" spans="2:4">
      <c r="B10" s="21" t="s">
        <v>76</v>
      </c>
      <c r="C10" s="21" t="s">
        <v>77</v>
      </c>
      <c r="D10" s="21"/>
    </row>
    <row r="12" spans="2:4">
      <c r="B12" s="19" t="s">
        <v>78</v>
      </c>
      <c r="C12" s="1"/>
      <c r="D12" s="1"/>
    </row>
    <row r="13" spans="2:4">
      <c r="B13" s="20" t="s">
        <v>79</v>
      </c>
      <c r="C13" s="20" t="s">
        <v>80</v>
      </c>
      <c r="D13" s="20" t="s">
        <v>81</v>
      </c>
    </row>
    <row r="14" spans="2:4">
      <c r="B14" s="21" t="s">
        <v>1</v>
      </c>
      <c r="C14" s="21" t="s">
        <v>82</v>
      </c>
      <c r="D14" s="21" t="s">
        <v>83</v>
      </c>
    </row>
    <row r="15" spans="2:4">
      <c r="B15" s="21" t="s">
        <v>84</v>
      </c>
      <c r="C15" s="21" t="s">
        <v>85</v>
      </c>
      <c r="D15" s="21" t="s">
        <v>86</v>
      </c>
    </row>
    <row r="16" spans="2:4">
      <c r="B16" s="21" t="s">
        <v>9</v>
      </c>
      <c r="C16" s="21" t="s">
        <v>87</v>
      </c>
      <c r="D16" s="21" t="s">
        <v>88</v>
      </c>
    </row>
    <row r="17" spans="2:4">
      <c r="B17" s="21" t="s">
        <v>10</v>
      </c>
      <c r="C17" s="21" t="s">
        <v>89</v>
      </c>
      <c r="D17" s="21" t="s">
        <v>90</v>
      </c>
    </row>
    <row r="18" spans="2:4">
      <c r="B18" s="21" t="s">
        <v>11</v>
      </c>
      <c r="C18" s="21" t="s">
        <v>91</v>
      </c>
      <c r="D18" s="21" t="s">
        <v>92</v>
      </c>
    </row>
    <row r="19" spans="2:4">
      <c r="B19" s="21" t="s">
        <v>12</v>
      </c>
      <c r="C19" s="21" t="s">
        <v>93</v>
      </c>
      <c r="D19" s="21" t="s">
        <v>94</v>
      </c>
    </row>
    <row r="20" spans="2:4">
      <c r="B20" s="21" t="s">
        <v>13</v>
      </c>
      <c r="C20" s="21" t="s">
        <v>95</v>
      </c>
      <c r="D20" s="21" t="s">
        <v>96</v>
      </c>
    </row>
    <row r="21" spans="2:4">
      <c r="B21" s="21" t="s">
        <v>14</v>
      </c>
      <c r="C21" s="21" t="s">
        <v>97</v>
      </c>
      <c r="D21" s="21" t="s">
        <v>98</v>
      </c>
    </row>
    <row r="22" spans="2:4">
      <c r="B22" s="21" t="s">
        <v>15</v>
      </c>
      <c r="C22" s="21" t="s">
        <v>99</v>
      </c>
      <c r="D22" s="21" t="s">
        <v>100</v>
      </c>
    </row>
    <row r="23" spans="2:4">
      <c r="B23" s="21" t="s">
        <v>16</v>
      </c>
      <c r="C23" s="21" t="s">
        <v>101</v>
      </c>
      <c r="D23" s="21" t="s">
        <v>102</v>
      </c>
    </row>
    <row r="24" spans="2:4">
      <c r="B24" s="21" t="s">
        <v>17</v>
      </c>
      <c r="C24" s="21" t="s">
        <v>103</v>
      </c>
      <c r="D24" s="21" t="s">
        <v>104</v>
      </c>
    </row>
    <row r="25" spans="2:4">
      <c r="B25" s="21" t="s">
        <v>18</v>
      </c>
      <c r="C25" s="21" t="s">
        <v>105</v>
      </c>
      <c r="D25" s="21" t="s">
        <v>106</v>
      </c>
    </row>
    <row r="26" spans="2:4">
      <c r="B26" s="21" t="s">
        <v>19</v>
      </c>
      <c r="C26" s="21" t="s">
        <v>107</v>
      </c>
      <c r="D26" s="21" t="s">
        <v>108</v>
      </c>
    </row>
    <row r="28" spans="2:4">
      <c r="B28" s="19" t="s">
        <v>109</v>
      </c>
      <c r="C28" s="1"/>
      <c r="D28" s="1"/>
    </row>
    <row r="29" spans="2:4">
      <c r="B29" s="20" t="s">
        <v>110</v>
      </c>
      <c r="C29" s="20" t="s">
        <v>111</v>
      </c>
      <c r="D29" s="20" t="s">
        <v>112</v>
      </c>
    </row>
    <row r="30" spans="2:4">
      <c r="B30" s="21" t="s">
        <v>56</v>
      </c>
      <c r="C30" s="21" t="s">
        <v>113</v>
      </c>
      <c r="D30" s="21" t="s">
        <v>114</v>
      </c>
    </row>
    <row r="31" spans="2:4">
      <c r="B31" s="21" t="s">
        <v>57</v>
      </c>
      <c r="C31" s="21" t="s">
        <v>115</v>
      </c>
      <c r="D31" s="21" t="s">
        <v>114</v>
      </c>
    </row>
    <row r="32" spans="2:4">
      <c r="B32" s="21" t="s">
        <v>116</v>
      </c>
      <c r="C32" s="21" t="s">
        <v>117</v>
      </c>
      <c r="D32" s="21" t="s">
        <v>118</v>
      </c>
    </row>
    <row r="33" spans="2:4">
      <c r="B33" s="21" t="s">
        <v>58</v>
      </c>
      <c r="C33" s="21" t="s">
        <v>119</v>
      </c>
      <c r="D33" s="21" t="s">
        <v>118</v>
      </c>
    </row>
    <row r="34" spans="2:4" ht="52.8">
      <c r="B34" s="21"/>
      <c r="C34" s="21" t="s">
        <v>120</v>
      </c>
      <c r="D34" s="21"/>
    </row>
    <row r="36" spans="2:4">
      <c r="B36" s="19" t="s">
        <v>121</v>
      </c>
      <c r="C36" s="1"/>
      <c r="D36" s="1"/>
    </row>
    <row r="37" spans="2:4">
      <c r="B37" s="20" t="s">
        <v>122</v>
      </c>
      <c r="C37" s="20" t="s">
        <v>123</v>
      </c>
      <c r="D37" s="11"/>
    </row>
    <row r="38" spans="2:4">
      <c r="B38" s="21" t="s">
        <v>95</v>
      </c>
      <c r="C38" s="21" t="s">
        <v>124</v>
      </c>
      <c r="D38" s="21"/>
    </row>
    <row r="39" spans="2:4">
      <c r="B39" s="21" t="s">
        <v>125</v>
      </c>
      <c r="C39" s="21" t="e">
        <f>IF(COUNTIF(범위,"Fail")&gt;0,"Fail",IF(COUNTIF(범위,"Blocked")&gt;0,"Blocked",IF(COUNTIF(범위,"NI")&gt;0,"NI",IF(COUNTIF(범위,"Pass")&gt;0,"Pass",""))))</f>
        <v>#NAME?</v>
      </c>
      <c r="D39" s="21"/>
    </row>
    <row r="40" spans="2:4">
      <c r="B40" s="21" t="s">
        <v>126</v>
      </c>
      <c r="C40" s="21" t="s">
        <v>127</v>
      </c>
      <c r="D40" s="21"/>
    </row>
    <row r="42" spans="2:4">
      <c r="B42" s="19" t="s">
        <v>128</v>
      </c>
      <c r="C42" s="1"/>
      <c r="D42" s="1"/>
    </row>
    <row r="43" spans="2:4">
      <c r="B43" s="20" t="s">
        <v>122</v>
      </c>
      <c r="C43" s="20" t="s">
        <v>123</v>
      </c>
      <c r="D43" s="11"/>
    </row>
    <row r="44" spans="2:4">
      <c r="B44" s="21" t="s">
        <v>129</v>
      </c>
      <c r="C44" s="21" t="s">
        <v>130</v>
      </c>
      <c r="D44" s="21"/>
    </row>
    <row r="45" spans="2:4" ht="26.4">
      <c r="B45" s="21" t="s">
        <v>131</v>
      </c>
      <c r="C45" s="21" t="s">
        <v>132</v>
      </c>
      <c r="D45" s="21"/>
    </row>
    <row r="46" spans="2:4" ht="26.4">
      <c r="B46" s="21" t="s">
        <v>133</v>
      </c>
      <c r="C46" s="21" t="s">
        <v>134</v>
      </c>
      <c r="D46" s="21"/>
    </row>
    <row r="47" spans="2:4" ht="26.4">
      <c r="B47" s="21" t="s">
        <v>135</v>
      </c>
      <c r="C47" s="21" t="s">
        <v>136</v>
      </c>
      <c r="D47" s="21"/>
    </row>
    <row r="49" spans="2:4">
      <c r="B49" s="19" t="s">
        <v>137</v>
      </c>
      <c r="C49" s="1"/>
      <c r="D49" s="1"/>
    </row>
    <row r="50" spans="2:4">
      <c r="B50" s="20" t="s">
        <v>122</v>
      </c>
      <c r="C50" s="20" t="s">
        <v>123</v>
      </c>
      <c r="D50" s="11"/>
    </row>
    <row r="51" spans="2:4">
      <c r="B51" s="21" t="s">
        <v>138</v>
      </c>
      <c r="C51" s="21" t="s">
        <v>139</v>
      </c>
      <c r="D51" s="21"/>
    </row>
    <row r="52" spans="2:4" ht="39.6">
      <c r="B52" s="21" t="s">
        <v>140</v>
      </c>
      <c r="C52" s="21" t="s">
        <v>141</v>
      </c>
      <c r="D52" s="21"/>
    </row>
    <row r="54" spans="2:4">
      <c r="B54" s="19" t="s">
        <v>142</v>
      </c>
      <c r="C54" s="1"/>
      <c r="D54" s="1"/>
    </row>
    <row r="55" spans="2:4">
      <c r="B55" s="20" t="s">
        <v>122</v>
      </c>
      <c r="C55" s="20" t="s">
        <v>123</v>
      </c>
      <c r="D55" s="11"/>
    </row>
    <row r="56" spans="2:4">
      <c r="B56" s="21" t="s">
        <v>143</v>
      </c>
      <c r="C56" s="21" t="s">
        <v>144</v>
      </c>
      <c r="D56" s="21"/>
    </row>
    <row r="57" spans="2:4">
      <c r="B57" s="21" t="s">
        <v>145</v>
      </c>
      <c r="C57" s="21" t="s">
        <v>146</v>
      </c>
      <c r="D57" s="21"/>
    </row>
    <row r="58" spans="2:4" ht="26.4">
      <c r="B58" s="21" t="s">
        <v>50</v>
      </c>
      <c r="C58" s="21" t="s">
        <v>147</v>
      </c>
      <c r="D58" s="21"/>
    </row>
  </sheetData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Test Case</vt:lpstr>
      <vt:lpstr>Summary</vt:lpstr>
      <vt:lpstr>명세서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준호 정</cp:lastModifiedBy>
  <dcterms:created xsi:type="dcterms:W3CDTF">2026-07-31T18:35:18Z</dcterms:created>
  <dcterms:modified xsi:type="dcterms:W3CDTF">2026-07-31T18:35:23Z</dcterms:modified>
</cp:coreProperties>
</file>